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EstaPastaDeTrabalho"/>
  <bookViews>
    <workbookView visibility="visible" minimized="0" showHorizontalScroll="1" showVerticalScroll="1" showSheetTabs="1" xWindow="-120" yWindow="-120" windowWidth="29040" windowHeight="15720" tabRatio="600" firstSheet="1" activeTab="1" autoFilterDateGrouping="1"/>
  </bookViews>
  <sheets>
    <sheet xmlns:r="http://schemas.openxmlformats.org/officeDocument/2006/relationships" name="DINÂMICO" sheetId="1" state="visible" r:id="rId1"/>
    <sheet xmlns:r="http://schemas.openxmlformats.org/officeDocument/2006/relationships" name="CONTROLE DE PL" sheetId="2" state="visible" r:id="rId2"/>
    <sheet xmlns:r="http://schemas.openxmlformats.org/officeDocument/2006/relationships" name="Planilha1 (2)" sheetId="3" state="visible" r:id="rId3"/>
    <sheet xmlns:r="http://schemas.openxmlformats.org/officeDocument/2006/relationships" name="Planilha1" sheetId="4" state="visible" r:id="rId4"/>
    <sheet xmlns:r="http://schemas.openxmlformats.org/officeDocument/2006/relationships" name="CONTROLE DE PROCESSOS" sheetId="5" state="visible" r:id="rId5"/>
    <sheet xmlns:r="http://schemas.openxmlformats.org/officeDocument/2006/relationships" name="CONTROLE DE REUNIÕES" sheetId="6" state="visible" r:id="rId6"/>
    <sheet xmlns:r="http://schemas.openxmlformats.org/officeDocument/2006/relationships" name="CONTROLE DE APs" sheetId="7" state="visible" r:id="rId7"/>
    <sheet xmlns:r="http://schemas.openxmlformats.org/officeDocument/2006/relationships" name="DADOS" sheetId="8" state="visible" r:id="rId8"/>
  </sheets>
  <definedNames>
    <definedName name="_xlnm._FilterDatabase" localSheetId="1" hidden="1">'CONTROLE DE PL'!$A$1:$U$520</definedName>
    <definedName name="_xlnm._FilterDatabase" localSheetId="4" hidden="1">'CONTROLE DE PROCESSOS'!$A$1:$I$160</definedName>
    <definedName name="_xlnm._FilterDatabase" localSheetId="5" hidden="1">'CONTROLE DE REUNIÕES'!$B$2:$Q$32</definedName>
    <definedName name="_xlnm._FilterDatabase" localSheetId="6" hidden="1">'CONTROLE DE APs'!$B$4:$H$20</definedName>
  </definedNames>
  <calcPr calcId="191028" fullCalcOnLoad="1"/>
  <pivotCaches>
    <pivotCache xmlns:r="http://schemas.openxmlformats.org/officeDocument/2006/relationships" cacheId="15" r:id="rId9"/>
  </pivotCaches>
</workbook>
</file>

<file path=xl/styles.xml><?xml version="1.0" encoding="utf-8"?>
<styleSheet xmlns="http://schemas.openxmlformats.org/spreadsheetml/2006/main">
  <numFmts count="0"/>
  <fonts count="13">
    <font>
      <name val="Calibri"/>
      <family val="2"/>
      <color theme="1"/>
      <sz val="11"/>
      <scheme val="minor"/>
    </font>
    <font>
      <name val="Calibri"/>
      <family val="2"/>
      <b val="1"/>
      <color theme="4" tint="-0.249977111117893"/>
      <sz val="11"/>
      <scheme val="minor"/>
    </font>
    <font>
      <name val="Calibri"/>
      <family val="2"/>
      <sz val="11"/>
      <scheme val="minor"/>
    </font>
    <font>
      <name val="Calibri"/>
      <family val="2"/>
      <color theme="5" tint="-0.499984740745262"/>
      <sz val="11"/>
      <scheme val="minor"/>
    </font>
    <font>
      <name val="Calibri"/>
      <family val="2"/>
      <color rgb="FFFF0000"/>
      <sz val="11"/>
      <scheme val="minor"/>
    </font>
    <font>
      <name val="Calibri"/>
      <family val="2"/>
      <b val="1"/>
      <sz val="11"/>
      <scheme val="minor"/>
    </font>
    <font>
      <name val="Calibri"/>
      <family val="2"/>
      <sz val="8"/>
      <scheme val="minor"/>
    </font>
    <font>
      <name val="Calibri"/>
      <family val="2"/>
      <b val="1"/>
      <color theme="0"/>
      <sz val="11"/>
      <scheme val="minor"/>
    </font>
    <font>
      <name val="Calibri"/>
      <family val="2"/>
      <color theme="10"/>
      <sz val="11"/>
      <u val="single"/>
      <scheme val="minor"/>
    </font>
    <font>
      <name val="Calibri"/>
      <family val="2"/>
      <b val="1"/>
      <color theme="1"/>
      <sz val="11"/>
      <scheme val="minor"/>
    </font>
    <font>
      <name val="Calibri"/>
      <family val="2"/>
      <color theme="0"/>
      <sz val="11"/>
      <scheme val="minor"/>
    </font>
    <font>
      <name val="Calibri"/>
      <family val="2"/>
      <color theme="5" tint="-0.249977111117893"/>
      <sz val="11"/>
      <scheme val="minor"/>
    </font>
    <font>
      <name val="Calibri"/>
      <family val="2"/>
      <b val="1"/>
      <color rgb="FFFF0000"/>
      <sz val="14"/>
      <scheme val="minor"/>
    </font>
  </fonts>
  <fills count="12">
    <fill>
      <patternFill/>
    </fill>
    <fill>
      <patternFill patternType="gray125"/>
    </fill>
    <fill>
      <patternFill patternType="solid">
        <fgColor theme="4"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499984740745262"/>
        <bgColor indexed="64"/>
      </patternFill>
    </fill>
    <fill>
      <patternFill patternType="solid">
        <fgColor rgb="FFC00000"/>
        <bgColor indexed="64"/>
      </patternFill>
    </fill>
    <fill>
      <patternFill patternType="solid">
        <fgColor rgb="FF7030A0"/>
        <bgColor indexed="64"/>
      </patternFill>
    </fill>
    <fill>
      <patternFill patternType="solid">
        <fgColor theme="4" tint="0.7999816888943144"/>
        <bgColor indexed="64"/>
      </patternFill>
    </fill>
    <fill>
      <patternFill patternType="solid">
        <fgColor theme="2" tint="-0.09997863704336681"/>
        <bgColor indexed="64"/>
      </patternFill>
    </fill>
    <fill>
      <patternFill patternType="solid">
        <fgColor theme="6" tint="0.3999755851924192"/>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s>
  <cellStyleXfs count="2">
    <xf numFmtId="0" fontId="0" fillId="0" borderId="0"/>
    <xf numFmtId="0" fontId="8" fillId="0" borderId="0"/>
  </cellStyleXfs>
  <cellXfs count="83">
    <xf numFmtId="0" fontId="0" fillId="0" borderId="0" pivotButton="0" quotePrefix="0" xfId="0"/>
    <xf numFmtId="0" fontId="0" fillId="0" borderId="0" applyAlignment="1" pivotButton="0" quotePrefix="0" xfId="0">
      <alignment vertical="top"/>
    </xf>
    <xf numFmtId="49" fontId="0" fillId="0" borderId="1" applyAlignment="1" pivotButton="0" quotePrefix="0" xfId="0">
      <alignment vertical="top" wrapText="1"/>
    </xf>
    <xf numFmtId="0" fontId="0" fillId="0" borderId="1" applyAlignment="1" pivotButton="0" quotePrefix="0" xfId="0">
      <alignment vertical="top"/>
    </xf>
    <xf numFmtId="0" fontId="0" fillId="0" borderId="1" applyAlignment="1" pivotButton="0" quotePrefix="0" xfId="0">
      <alignment horizontal="center" vertical="top"/>
    </xf>
    <xf numFmtId="49" fontId="0" fillId="0" borderId="0" applyAlignment="1" pivotButton="0" quotePrefix="0" xfId="0">
      <alignment vertical="top" wrapText="1"/>
    </xf>
    <xf numFmtId="0" fontId="0" fillId="0" borderId="0" applyAlignment="1" pivotButton="0" quotePrefix="0" xfId="0">
      <alignment horizontal="center" vertical="top"/>
    </xf>
    <xf numFmtId="0" fontId="1" fillId="0" borderId="1" applyAlignment="1" pivotButton="0" quotePrefix="0" xfId="0">
      <alignment horizontal="center" vertical="top"/>
    </xf>
    <xf numFmtId="0" fontId="1" fillId="0" borderId="0" applyAlignment="1" pivotButton="0" quotePrefix="0" xfId="0">
      <alignment horizontal="center" vertical="top"/>
    </xf>
    <xf numFmtId="14" fontId="0" fillId="0" borderId="1" applyAlignment="1" pivotButton="0" quotePrefix="0" xfId="0">
      <alignment horizontal="center" vertical="top"/>
    </xf>
    <xf numFmtId="49" fontId="0" fillId="0" borderId="1" applyAlignment="1" pivotButton="0" quotePrefix="0" xfId="0">
      <alignment horizontal="center" vertical="top" wrapText="1"/>
    </xf>
    <xf numFmtId="49" fontId="0" fillId="0" borderId="0" applyAlignment="1" pivotButton="0" quotePrefix="0" xfId="0">
      <alignment horizontal="center" vertical="top" wrapText="1"/>
    </xf>
    <xf numFmtId="0" fontId="0" fillId="0" borderId="1" applyAlignment="1" pivotButton="0" quotePrefix="0" xfId="0">
      <alignment horizontal="center" vertical="top" wrapText="1"/>
    </xf>
    <xf numFmtId="0" fontId="0" fillId="0" borderId="1" applyAlignment="1" pivotButton="0" quotePrefix="0" xfId="0">
      <alignment vertical="top" wrapText="1"/>
    </xf>
    <xf numFmtId="0" fontId="0" fillId="0" borderId="2" applyAlignment="1" pivotButton="0" quotePrefix="0" xfId="0">
      <alignment horizontal="center" vertical="top" wrapText="1"/>
    </xf>
    <xf numFmtId="0" fontId="2" fillId="0" borderId="0" pivotButton="0" quotePrefix="0" xfId="0"/>
    <xf numFmtId="0" fontId="0" fillId="0" borderId="0" applyAlignment="1" pivotButton="0" quotePrefix="0" xfId="0">
      <alignment horizontal="center" vertical="top" wrapText="1"/>
    </xf>
    <xf numFmtId="14" fontId="0" fillId="0" borderId="1" applyAlignment="1" pivotButton="0" quotePrefix="0" xfId="0">
      <alignment horizontal="center" vertical="top" wrapText="1"/>
    </xf>
    <xf numFmtId="49" fontId="3" fillId="0" borderId="1" applyAlignment="1" pivotButton="0" quotePrefix="0" xfId="0">
      <alignment vertical="top" wrapText="1"/>
    </xf>
    <xf numFmtId="0" fontId="2" fillId="0" borderId="1" applyAlignment="1" pivotButton="0" quotePrefix="0" xfId="0">
      <alignment horizontal="center" vertical="top"/>
    </xf>
    <xf numFmtId="49" fontId="2" fillId="0" borderId="1" applyAlignment="1" pivotButton="0" quotePrefix="0" xfId="0">
      <alignment vertical="top" wrapText="1"/>
    </xf>
    <xf numFmtId="49" fontId="2" fillId="0" borderId="1" applyAlignment="1" pivotButton="0" quotePrefix="0" xfId="0">
      <alignment horizontal="center" vertical="top" wrapText="1"/>
    </xf>
    <xf numFmtId="14" fontId="2" fillId="0" borderId="1" applyAlignment="1" pivotButton="0" quotePrefix="0" xfId="0">
      <alignment horizontal="center" vertical="top"/>
    </xf>
    <xf numFmtId="0" fontId="5" fillId="0" borderId="1" applyAlignment="1" pivotButton="0" quotePrefix="0" xfId="0">
      <alignment horizontal="center" vertical="top"/>
    </xf>
    <xf numFmtId="14" fontId="2" fillId="0" borderId="2" applyAlignment="1" pivotButton="0" quotePrefix="0" xfId="0">
      <alignment horizontal="center" vertical="top" wrapText="1"/>
    </xf>
    <xf numFmtId="14" fontId="0" fillId="0" borderId="0" applyAlignment="1" pivotButton="0" quotePrefix="0" xfId="0">
      <alignment horizontal="center" vertical="top"/>
    </xf>
    <xf numFmtId="14" fontId="0" fillId="0" borderId="1" applyAlignment="1" pivotButton="0" quotePrefix="1" xfId="0">
      <alignment horizontal="center" vertical="top" wrapText="1"/>
    </xf>
    <xf numFmtId="49" fontId="7" fillId="2" borderId="1" applyAlignment="1" pivotButton="0" quotePrefix="0" xfId="0">
      <alignment vertical="center" wrapText="1"/>
    </xf>
    <xf numFmtId="49" fontId="7" fillId="2" borderId="1" applyAlignment="1" pivotButton="0" quotePrefix="0" xfId="0">
      <alignment horizontal="center" vertical="center"/>
    </xf>
    <xf numFmtId="49" fontId="7" fillId="2" borderId="1" applyAlignment="1" pivotButton="0" quotePrefix="0" xfId="0">
      <alignment horizontal="center" vertical="center" wrapText="1"/>
    </xf>
    <xf numFmtId="0" fontId="7" fillId="2" borderId="1" applyAlignment="1" pivotButton="0" quotePrefix="0" xfId="0">
      <alignment horizontal="center" vertical="center"/>
    </xf>
    <xf numFmtId="0" fontId="7" fillId="2" borderId="1" applyAlignment="1" pivotButton="0" quotePrefix="0" xfId="0">
      <alignment horizontal="center" vertical="center" wrapText="1"/>
    </xf>
    <xf numFmtId="0" fontId="0" fillId="0" borderId="0" pivotButton="1" quotePrefix="0" xfId="0"/>
    <xf numFmtId="0" fontId="0" fillId="0" borderId="0" applyAlignment="1" pivotButton="0" quotePrefix="0" xfId="0">
      <alignment horizontal="left"/>
    </xf>
    <xf numFmtId="49" fontId="4" fillId="0" borderId="1" applyAlignment="1" pivotButton="0" quotePrefix="0" xfId="0">
      <alignment vertical="top" wrapText="1"/>
    </xf>
    <xf numFmtId="0" fontId="0" fillId="0" borderId="0" applyAlignment="1" pivotButton="0" quotePrefix="0" xfId="0">
      <alignment wrapText="1"/>
    </xf>
    <xf numFmtId="0" fontId="8" fillId="0" borderId="0" pivotButton="0" quotePrefix="0" xfId="1"/>
    <xf numFmtId="49" fontId="0" fillId="0" borderId="2" applyAlignment="1" pivotButton="0" quotePrefix="0" xfId="0">
      <alignment horizontal="center" vertical="top" wrapText="1"/>
    </xf>
    <xf numFmtId="49" fontId="2" fillId="0" borderId="2" applyAlignment="1" pivotButton="0" quotePrefix="0" xfId="0">
      <alignment horizontal="center" vertical="top" wrapText="1"/>
    </xf>
    <xf numFmtId="49" fontId="8" fillId="0" borderId="1" applyAlignment="1" pivotButton="0" quotePrefix="0" xfId="1">
      <alignment vertical="top" wrapText="1"/>
    </xf>
    <xf numFmtId="0" fontId="8" fillId="0" borderId="1" applyAlignment="1" pivotButton="0" quotePrefix="0" xfId="1">
      <alignment vertical="top"/>
    </xf>
    <xf numFmtId="49" fontId="7" fillId="3" borderId="1" applyAlignment="1" pivotButton="0" quotePrefix="0" xfId="0">
      <alignment horizontal="center" vertical="center" wrapText="1"/>
    </xf>
    <xf numFmtId="49" fontId="7" fillId="4" borderId="1" applyAlignment="1" pivotButton="0" quotePrefix="0" xfId="0">
      <alignment horizontal="center" vertical="center" wrapText="1"/>
    </xf>
    <xf numFmtId="14" fontId="0" fillId="0" borderId="3" applyAlignment="1" pivotButton="0" quotePrefix="0" xfId="0">
      <alignment horizontal="center" vertical="top"/>
    </xf>
    <xf numFmtId="0" fontId="2" fillId="0" borderId="1" applyAlignment="1" pivotButton="0" quotePrefix="0" xfId="0">
      <alignment vertical="top" wrapText="1"/>
    </xf>
    <xf numFmtId="0" fontId="4" fillId="0" borderId="1" applyAlignment="1" pivotButton="0" quotePrefix="0" xfId="0">
      <alignment vertical="top" wrapText="1"/>
    </xf>
    <xf numFmtId="49" fontId="7" fillId="5" borderId="1" applyAlignment="1" pivotButton="0" quotePrefix="0" xfId="0">
      <alignment horizontal="center" vertical="center" wrapText="1"/>
    </xf>
    <xf numFmtId="0" fontId="7" fillId="5" borderId="1" applyAlignment="1" pivotButton="0" quotePrefix="0" xfId="0">
      <alignment horizontal="center" vertical="center"/>
    </xf>
    <xf numFmtId="0" fontId="0" fillId="0" borderId="0" applyAlignment="1" pivotButton="0" quotePrefix="0" xfId="0">
      <alignment horizontal="right"/>
    </xf>
    <xf numFmtId="49" fontId="7" fillId="6" borderId="1" applyAlignment="1" pivotButton="0" quotePrefix="0" xfId="0">
      <alignment horizontal="center" vertical="center" wrapText="1"/>
    </xf>
    <xf numFmtId="14" fontId="0" fillId="0" borderId="2" applyAlignment="1" pivotButton="0" quotePrefix="0" xfId="0">
      <alignment horizontal="center" vertical="top" wrapText="1"/>
    </xf>
    <xf numFmtId="14" fontId="0" fillId="0" borderId="1" applyAlignment="1" pivotButton="0" quotePrefix="0" xfId="0">
      <alignment vertical="top" wrapText="1"/>
    </xf>
    <xf numFmtId="49" fontId="7" fillId="7" borderId="1" applyAlignment="1" pivotButton="0" quotePrefix="0" xfId="0">
      <alignment horizontal="center" vertical="center" wrapText="1"/>
    </xf>
    <xf numFmtId="49" fontId="2" fillId="0" borderId="0" applyAlignment="1" pivotButton="0" quotePrefix="0" xfId="0">
      <alignment vertical="top" wrapText="1"/>
    </xf>
    <xf numFmtId="0" fontId="10" fillId="2" borderId="1" applyAlignment="1" pivotButton="0" quotePrefix="0" xfId="0">
      <alignment horizontal="center" vertical="center"/>
    </xf>
    <xf numFmtId="0" fontId="10" fillId="2" borderId="1" applyAlignment="1" pivotButton="0" quotePrefix="0" xfId="0">
      <alignment horizontal="center" vertical="center" wrapText="1"/>
    </xf>
    <xf numFmtId="0" fontId="10" fillId="2" borderId="0" applyAlignment="1" pivotButton="0" quotePrefix="0" xfId="0">
      <alignment horizontal="center" vertical="top"/>
    </xf>
    <xf numFmtId="14" fontId="11" fillId="0" borderId="1" applyAlignment="1" pivotButton="0" quotePrefix="0" xfId="0">
      <alignment horizontal="center" vertical="top"/>
    </xf>
    <xf numFmtId="0" fontId="11" fillId="0" borderId="1" applyAlignment="1" pivotButton="0" quotePrefix="0" xfId="0">
      <alignment horizontal="center" vertical="top"/>
    </xf>
    <xf numFmtId="0" fontId="0" fillId="0" borderId="0" applyAlignment="1" pivotButton="0" quotePrefix="0" xfId="0">
      <alignment horizontal="left" vertical="top" wrapText="1"/>
    </xf>
    <xf numFmtId="0" fontId="0" fillId="0" borderId="0" applyAlignment="1" pivotButton="0" quotePrefix="0" xfId="0">
      <alignment vertical="top" wrapText="1"/>
    </xf>
    <xf numFmtId="0" fontId="9" fillId="8" borderId="1" applyAlignment="1" pivotButton="0" quotePrefix="0" xfId="0">
      <alignment horizontal="center" vertical="center" wrapText="1"/>
    </xf>
    <xf numFmtId="0" fontId="9" fillId="8" borderId="1" applyAlignment="1" pivotButton="0" quotePrefix="0" xfId="0">
      <alignment vertical="center" wrapText="1"/>
    </xf>
    <xf numFmtId="0" fontId="0" fillId="9" borderId="1" applyAlignment="1" pivotButton="0" quotePrefix="0" xfId="0">
      <alignment horizontal="center" vertical="top"/>
    </xf>
    <xf numFmtId="0" fontId="0" fillId="10" borderId="1" applyAlignment="1" pivotButton="0" quotePrefix="0" xfId="0">
      <alignment horizontal="center" vertical="top"/>
    </xf>
    <xf numFmtId="49" fontId="7" fillId="2" borderId="1" applyAlignment="1" pivotButton="0" quotePrefix="0" xfId="0">
      <alignment horizontal="left" vertical="top" wrapText="1"/>
    </xf>
    <xf numFmtId="49" fontId="8" fillId="0" borderId="1" applyAlignment="1" pivotButton="0" quotePrefix="0" xfId="1">
      <alignment horizontal="left" vertical="top" wrapText="1"/>
    </xf>
    <xf numFmtId="49" fontId="0" fillId="0" borderId="1" applyAlignment="1" pivotButton="0" quotePrefix="0" xfId="0">
      <alignment horizontal="left" vertical="top" wrapText="1"/>
    </xf>
    <xf numFmtId="0" fontId="0" fillId="0" borderId="1" applyAlignment="1" pivotButton="0" quotePrefix="0" xfId="0">
      <alignment horizontal="left" vertical="top"/>
    </xf>
    <xf numFmtId="49" fontId="7" fillId="2" borderId="4" applyAlignment="1" pivotButton="0" quotePrefix="0" xfId="0">
      <alignment horizontal="left" vertical="top" wrapText="1"/>
    </xf>
    <xf numFmtId="0" fontId="0" fillId="0" borderId="4" applyAlignment="1" pivotButton="0" quotePrefix="0" xfId="0">
      <alignment horizontal="left" vertical="top"/>
    </xf>
    <xf numFmtId="49" fontId="8" fillId="11" borderId="1" applyAlignment="1" pivotButton="0" quotePrefix="0" xfId="1">
      <alignment vertical="top" wrapText="1"/>
    </xf>
    <xf numFmtId="49" fontId="0" fillId="11" borderId="1" applyAlignment="1" pivotButton="0" quotePrefix="0" xfId="0">
      <alignment vertical="top" wrapText="1"/>
    </xf>
    <xf numFmtId="49" fontId="8" fillId="0" borderId="1" applyAlignment="1" pivotButton="0" quotePrefix="0" xfId="1">
      <alignment vertical="top" wrapText="1"/>
    </xf>
    <xf numFmtId="0" fontId="9" fillId="11" borderId="5" applyAlignment="1" pivotButton="0" quotePrefix="0" xfId="0">
      <alignment horizontal="center" wrapText="1"/>
    </xf>
    <xf numFmtId="0" fontId="9" fillId="11" borderId="6" applyAlignment="1" pivotButton="0" quotePrefix="0" xfId="0">
      <alignment horizontal="center" wrapText="1"/>
    </xf>
    <xf numFmtId="0" fontId="9" fillId="11" borderId="1" applyAlignment="1" pivotButton="0" quotePrefix="0" xfId="0">
      <alignment horizontal="center" wrapText="1"/>
    </xf>
    <xf numFmtId="0" fontId="9" fillId="11" borderId="1" applyAlignment="1" pivotButton="0" quotePrefix="0" xfId="0">
      <alignment horizontal="center"/>
    </xf>
    <xf numFmtId="0" fontId="12" fillId="0" borderId="0" applyAlignment="1" pivotButton="0" quotePrefix="0" xfId="0">
      <alignment horizontal="center" vertical="top" wrapText="1"/>
    </xf>
    <xf numFmtId="0" fontId="0" fillId="0" borderId="0" pivotButton="0" quotePrefix="0" xfId="0"/>
    <xf numFmtId="0" fontId="0" fillId="0" borderId="6" pivotButton="0" quotePrefix="0" xfId="0"/>
    <xf numFmtId="0" fontId="0" fillId="0" borderId="9" pivotButton="0" quotePrefix="0" xfId="0"/>
    <xf numFmtId="0" fontId="0" fillId="0" borderId="2" pivotButton="0" quotePrefix="0" xfId="0"/>
  </cellXfs>
  <cellStyles count="2">
    <cellStyle name="Normal" xfId="0" builtinId="0"/>
    <cellStyle name="Hiperlink" xfId="1" builtinId="8"/>
  </cellStyles>
  <dxfs count="13">
    <dxf>
      <fill>
        <patternFill>
          <fgColor theme="0"/>
          <bgColor theme="0"/>
        </patternFill>
      </fill>
    </dxf>
    <dxf>
      <fill>
        <patternFill>
          <bgColor theme="9" tint="0.7999816888943144"/>
        </patternFill>
      </fill>
    </dxf>
    <dxf>
      <fill>
        <patternFill>
          <fgColor auto="1"/>
          <bgColor theme="8" tint="0.5999633777886288"/>
        </patternFill>
      </fill>
    </dxf>
    <dxf>
      <fill>
        <patternFill>
          <bgColor theme="8" tint="0.5999633777886288"/>
        </patternFill>
      </fill>
    </dxf>
    <dxf>
      <fill>
        <patternFill>
          <fgColor theme="5"/>
          <bgColor theme="9" tint="0.3999450666829432"/>
        </patternFill>
      </fill>
    </dxf>
    <dxf>
      <fill>
        <patternFill>
          <bgColor rgb="FFDD9FB1"/>
        </patternFill>
      </fill>
    </dxf>
    <dxf>
      <alignment horizontal="right"/>
    </dxf>
    <dxf>
      <fill>
        <patternFill>
          <fgColor theme="0"/>
          <bgColor theme="0"/>
        </patternFill>
      </fill>
    </dxf>
    <dxf>
      <fill>
        <patternFill>
          <bgColor theme="9" tint="0.7999816888943144"/>
        </patternFill>
      </fill>
    </dxf>
    <dxf>
      <fill>
        <patternFill>
          <fgColor auto="1"/>
          <bgColor theme="8" tint="0.5999633777886288"/>
        </patternFill>
      </fill>
    </dxf>
    <dxf>
      <fill>
        <patternFill>
          <bgColor theme="8" tint="0.5999633777886288"/>
        </patternFill>
      </fill>
    </dxf>
    <dxf>
      <fill>
        <patternFill>
          <fgColor theme="5"/>
          <bgColor theme="9" tint="0.3999450666829432"/>
        </patternFill>
      </fill>
    </dxf>
    <dxf>
      <fill>
        <patternFill>
          <bgColor rgb="FFDD9FB1"/>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pivotCacheDefinition" Target="/xl/pivotCache/pivotCacheDefinition1.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OnLoad="1" refreshedBy="Gilberto Almeida" refreshedDate="46169.47934849537" createdVersion="8" refreshedVersion="8" minRefreshableVersion="3" recordCount="520" r:id="rId1">
  <cacheSource type="worksheet">
    <worksheetSource ref="A1:V8993" sheet="CONTROLE DE PL"/>
  </cacheSource>
  <cacheFields count="22">
    <cacheField name="TIPO" uniqueList="1" numFmtId="49" sqlType="0" hierarchy="0" level="0" databaseField="1">
      <sharedItems count="5" containsBlank="1">
        <s v="Projeto Lei"/>
        <s v="Projeto Lei Compl."/>
        <s v="PL Apensado"/>
        <s v="Processo"/>
        <m/>
      </sharedItems>
    </cacheField>
    <cacheField name="ORD" uniqueList="1" numFmtId="0" sqlType="0" hierarchy="0" level="0" databaseField="1">
      <sharedItems count="0" containsBlank="1"/>
    </cacheField>
    <cacheField name="Nº PL" uniqueList="1" numFmtId="49" sqlType="0" hierarchy="0" level="0" databaseField="1">
      <sharedItems count="0" containsBlank="1"/>
    </cacheField>
    <cacheField name="EMENTA" uniqueList="1" numFmtId="49" sqlType="0" hierarchy="0" level="0" databaseField="1">
      <sharedItems count="0" containsBlank="1" longText="1"/>
    </cacheField>
    <cacheField name="AUTOR" uniqueList="1" numFmtId="49" sqlType="0" hierarchy="0" level="0" databaseField="1">
      <sharedItems count="0" containsBlank="1"/>
    </cacheField>
    <cacheField name="RELATOR" uniqueList="1" numFmtId="49" sqlType="0" hierarchy="0" level="0" databaseField="1">
      <sharedItems count="15" containsBlank="1">
        <s v="ANDRÉ CORRÊA"/>
        <s v="VINICIUS COZZOLINO"/>
        <s v="RENATO MIRANDA"/>
        <s v="ZEIDAN"/>
        <m/>
        <s v="BRUNO DAUAIRE"/>
        <s v="CARLOS MACEDO"/>
        <s v="LUIZ PAULO"/>
        <s v="ALEXANDRE KNOPLOCH"/>
        <s v="ANDRÉZINHO CECILIANO"/>
        <s v="ANDRÉ CORRÊA_x000a_"/>
        <s v="ANDERSON MORAES"/>
        <s v="NÃO ACHEI AQUI NA SALA!!!"/>
        <s v="GUSTAVO TUTUCA"/>
        <s v="GT"/>
      </sharedItems>
    </cacheField>
    <cacheField name="PARECER" uniqueList="1" numFmtId="49" sqlType="0" hierarchy="0" level="0" databaseField="1">
      <sharedItems count="52" containsBlank="1" longText="1">
        <s v="Sim"/>
        <s v="FAVORÁVEL COM EMENDAS"/>
        <s v="FAVORÁVEL COM AS EMENDAS DA COMISSÃO DE CONSTITUIÇÃO E JUSTIÇA"/>
        <s v="FAVORÁVEL"/>
        <s v="CONTRÁRIO"/>
        <s v="FAVORÁVEL ÀS EMENDAS"/>
        <m/>
        <s v="FAVORÁVEL AS EMENDA Nº 01, 02, 03, 04, 05 e 06"/>
        <s v="FAVORÁVEL, COM A EMENDA DA COMISSÃO DE CONSTITUIÇÃO E JUSTIÇA"/>
        <s v="FAVORÁVEL AO SUBSTITUTIVO DA COMISSÃO DE CONSTITUIÇÃO E JUSTIÇA"/>
        <s v="FAVORÁVEL COM EMENDA"/>
        <s v="FAVORÁVEL ÀS EMENDAS DE PLENÁRIO COM O SUBSTITUTIVO DA COMISSÃO DE CONSTITUIÇÃO E JUSTIÇA"/>
        <s v="FAVORÁVEL COM AS EMENDAS DA COMISSÃO DE CONSTITUIÇÃO E JUSTIÇA, CONCLUINDO PELO SUBSTITUTIVO"/>
        <s v="FAVORÁVEL ÀS EMENDAS Nºs 1,3 E 4 E CONTRÁRIO À EMENDA Nº 2"/>
        <s v="Favorável, com a adoção das emendas propostas pela Comissão de Constituição e Justiça e pela Comissão de Tributação, Controle da Arrecadação Estadual e Fiscalização dos Tributos Estaduais"/>
        <s v="FAVORÁVEL ÀS EMENDAS DE PLENÁRIO"/>
        <s v="FAVORÁVEL A EMENDA 01 E CONTRÁRIO À EMENDA 02"/>
        <s v="FAVORÁVEL, COM EMENDA"/>
        <s v="FAVORÁVEL COM AS EMENDAS DA CCJ"/>
        <s v="CONTRÁRIO ÁS EMENDAS DE PLENÁRIO"/>
        <s v="FAVORÁVEL COM EMENDAS DA  COMISSÃO DE CONSTITUIÇÃO E JUSTIÇA"/>
        <s v="FAVORÁVEL COM AS EMENDAS  DA COMISSÃO DE ECONOMIA, INDUSTRIA E COMERCIO"/>
        <s v="FAVORÁVEL ÀS EMENDAS NºS 01, 03 E 04, PREJUDICADA À EMENDA Nº 02 PELA EMENDA Nº 7 DA COMISSÃO DE CONSTITUIÇÃO E JUSTIÇA"/>
        <s v="FAVORÁVEL COM O SUBSTITUTIVO DA COMISSÃO DE CONSTITUIÇÃO E JUSTIÇA"/>
        <s v="FAVORÁVEL COM A EMENDA DA COMISSÃO DE CONSTITUIÇÃO E JUSTIÇA"/>
        <s v="FAVORÁVEL ÀS EMENDAS DE PLENÁRIO E COM O SUBSTITUTIVO DA COMISSÃO DE CONSTITUIÇÃO E JUSTIÇA"/>
        <s v="FAVORÁVEL, COM O SUBSTITUTIVO DA COMISSÃO DE CONSTITUIÇÃO E JUSTIÇA"/>
        <s v="FAVORÁVEL ÀS EMENDAS Nº 01, 02 e 03"/>
        <s v="FAVORÁVEL, COM EMENDAS DA COMISSÃO DE CONSTITUIÇÃO E JUSTIÇA"/>
        <s v="FAVORÁVEL A TODAS AS EMENDAS"/>
        <s v="FAVORÁVEL, AO SUBSTITUTIVO DA COMISSÃO DE CONSTITUIÇÃO E JUSTIÇA"/>
        <s v="FAVORÁVEL COM EMENDAS DA COMISSÃO DE CONSTITUIÇÃO E JUSTIÇA"/>
        <s v="FAVORÁVEL À EMENDA Nº 04; CONTRÁRIO ÀS EMENDAS Nº 01 E 02; PREJUDICADA EMENDA Nº 03 PELA APROVAÇÃO DA EMENDA Nº 04 DA COMISSÃO DE CONSTITUIÇÃO E JUSTIÇA; PREJUDICADAS AS EMENDAS Nº 05, 06 E 07 PELA APROVAÇÃO DA EMENDA Nº 04 DA COMISSÃO DE CONSTITUIÇÃO E JUSTIÇA, CONCLUINDO POR SUBSTITUTIVO"/>
        <s v="FAVORÁVEL COM AS EMENDAS  DA COMISSÃO DE CONSTITUIÇÃO E JUSTIÇA"/>
        <s v="FAVORÁVEL COM SUBEMENDA À EMENDA 02, FAVORÁVEL ÀS EMENDAS 01, 03 e 05, CONTRÁRIO À EMENDA 04"/>
        <s v="FAVORÁVEL COM SUBEMENDA À EMENDA MODIFICATIVA 01 E FAVORÁVEL À EMENDA 02"/>
        <s v="FAVORÁVEL ÀS EMENDAS 01 E 02 E CONTRÁRIO À EMENDA 03"/>
        <s v="FAVORÁVEL ÀS EMENDAS 01, 02, 03 E 05; PREJUDICADA À EMENDA 06 PELA EMENDA 01 E CONTRÁRIO À EMENDA 04"/>
        <s v="TIL"/>
        <s v="FAVORÁVEL COM AS EMENDAS DA COMISSÃO DE ECONOMIA, INDÚSTRIA E COMÉRCIO"/>
        <s v="FAVORÁVEL ÀS EMENDAS DE PLENÁRIO, CONCLUINDO POR SUBSTITUTIVO DA COMISSÃO DE CONSTITUIÇÃO E JUSTIÇA"/>
        <s v="FAVORÁVEL, COM AS EMENDAS DA COMISSÃO DE CONSTITUIÇÃO E JUSTIÇA"/>
        <s v="FAVORÁVEL, NA FORMA DO SUBSTITUTIVO DA COMISSÃO DE CONSTITUIÇÃO E JUSTIÇA"/>
        <s v="FAVORÁVEL, COM VOTO EM SEPARADO FAVORÁVEL COM RESTRIÇÕES, DO DEPUTADO LUIZ PAULO"/>
        <s v="FAVORÁVEL À EMENDA DE PLENÁRIO"/>
        <s v="FAVORÁVEL ÀS EMENDAS Nº 01 E 02 COM SUBEMENDA DA COMISSÃO DE CONSTITUIÇÃO E JUSTIÇA"/>
        <s v="FAVORÁVEL COM AS EMENDAS DA COMISSÃO DE CONSTITUIÇÃO E JUSTIÇA E DA COMISSÃO DE ECONOMIA, INDÚSTRIA E COMÉRCIO"/>
        <s v="FAVORÁVEL COM O PARECER DA COMISSÃO DE CONSTITUIÇÃO E JUSTIÇCA E A EMENDA DA COMISSÃO DE SEGURANÇA PÚBLICA E ASSUNTOS DE POLÍCIA"/>
        <s v="FAVORÁEL COM AS EMENDAS DA COMISSÃO DE CONSTITUIÇÃO E JUSTIÇA"/>
        <s v="FAVORÁVEL COM COM O SUBSTITUTIVO DA COMISSÃO DE CONSTITUIÇÃO E JUSTIÇA"/>
        <s v="FAVORÁVEL COM A EMENDA DA COMISSÃO DE CONSTITUIÇÃO E JUSTIÇA E DA COMISSÃO DE ESPORTE E LAZER"/>
        <s v="FAVORÁVEL COM EMENDAS, INCLUSIVE COM AS EMENDAS DA COMISSÃO DE CONSTITUIÇÃO E JUSTIÇA"/>
      </sharedItems>
    </cacheField>
    <cacheField name="DATA PARECER D.O." uniqueList="1" numFmtId="49" sqlType="0" hierarchy="0" level="0" databaseField="1">
      <sharedItems count="0" containsBlank="1"/>
    </cacheField>
    <cacheField name="REUNIÃO" uniqueList="1" numFmtId="0" sqlType="0" hierarchy="0" level="0" databaseField="1">
      <sharedItems count="0" containsBlank="1" containsDate="1" containsMixedTypes="1" minDate="2025-12-16T00:00:00" maxDate="2025-12-17T00:00:00"/>
    </cacheField>
    <cacheField name="DATA_x000a_ENTRADA" uniqueList="1" numFmtId="0" sqlType="0" hierarchy="0" level="0" databaseField="1">
      <sharedItems count="0" containsBlank="1" containsDate="1" containsMixedTypes="1" minDate="2025-06-11T00:00:00" maxDate="2026-05-20T00:00:00"/>
    </cacheField>
    <cacheField name="DATA_x000a_RELATORIA" uniqueList="1" numFmtId="0" sqlType="0" hierarchy="0" level="0" databaseField="1">
      <sharedItems count="0" containsBlank="1" containsDate="1" containsNonDate="0" containsString="0" minDate="2025-02-11T00:00:00" maxDate="2026-05-27T00:00:00"/>
    </cacheField>
    <cacheField name="DATA DEVOL. RELATORIA" uniqueList="1" numFmtId="0" sqlType="0" hierarchy="0" level="0" databaseField="1">
      <sharedItems count="0" containsBlank="1" containsDate="1" containsNonDate="0" containsString="0" minDate="2025-06-26T00:00:00" maxDate="2026-05-26T00:00:00"/>
    </cacheField>
    <cacheField name="DATA SAÍDA_x000a_DA COMISS" uniqueList="1" numFmtId="0" sqlType="0" hierarchy="0" level="0" databaseField="1">
      <sharedItems count="0" containsBlank="1" containsDate="1" containsMixedTypes="1" minDate="2025-08-04T00:00:00" maxDate="2026-05-19T00:00:00"/>
    </cacheField>
    <cacheField name="RELATOR DA VISTA" uniqueList="1" numFmtId="0" sqlType="0" hierarchy="0" level="0" databaseField="1">
      <sharedItems count="0" containsBlank="1"/>
    </cacheField>
    <cacheField name="PARECER EM SEPARADO" uniqueList="1" numFmtId="0" sqlType="0" hierarchy="0" level="0" databaseField="1">
      <sharedItems count="0" containsBlank="1"/>
    </cacheField>
    <cacheField name="DT DEVOLUÇÃO VISTA" uniqueList="1" numFmtId="0" sqlType="0" hierarchy="0" level="0" databaseField="1">
      <sharedItems count="0" containsBlank="1" containsDate="1" containsNonDate="0" containsString="0" minDate="2025-10-23T00:00:00" maxDate="2025-10-24T00:00:00"/>
    </cacheField>
    <cacheField name="NA COMISSÃO" uniqueList="1" numFmtId="0" sqlType="0" hierarchy="0" level="0" databaseField="1">
      <sharedItems count="5" containsBlank="1">
        <s v="Não"/>
        <s v="Sim"/>
        <s v="No relator"/>
        <s v="Com Relator"/>
        <m/>
      </sharedItems>
    </cacheField>
    <cacheField name="OBSERVAÇÕES" uniqueList="1" numFmtId="0" sqlType="0" hierarchy="0" level="0" databaseField="1">
      <sharedItems count="0" containsBlank="1" longText="1"/>
    </cacheField>
    <cacheField name="PL APENSADO_x000a_PAI" uniqueList="1" numFmtId="0" sqlType="0" hierarchy="0" level="0" databaseField="1">
      <sharedItems count="0" containsBlank="1"/>
    </cacheField>
    <cacheField name="PARECER_x000a_NOTES" uniqueList="1" numFmtId="0" sqlType="0" hierarchy="0" level="0" databaseField="1">
      <sharedItems count="0" containsBlank="1" containsNonDate="0" containsString="0"/>
    </cacheField>
    <cacheField name="LEI Nº" uniqueList="1" numFmtId="0" sqlType="0" hierarchy="0" level="0" databaseField="1">
      <sharedItems count="0" containsBlank="1" containsNonDate="0" containsString="0"/>
    </cacheField>
    <cacheField name="LINK" uniqueList="1" numFmtId="0" sqlType="0" hierarchy="0" level="0" databaseField="1">
      <sharedItems count="0" containsBlank="1"/>
    </cacheField>
  </cacheFields>
</pivotCacheDefinition>
</file>

<file path=xl/pivotCache/pivotCacheRecords1.xml><?xml version="1.0" encoding="utf-8"?>
<pivotCacheRecords xmlns="http://schemas.openxmlformats.org/spreadsheetml/2006/main" count="520">
  <r>
    <x v="0"/>
    <s v="2021"/>
    <s v="4350/2021"/>
    <s v="DETERMINA QUE O AGRESSOR DE ANIMAIS ARQUE COM AS DESPESAS PÚBLICAS QUE ENVOLVAM OS ANIMAIS VÍTIMAS DE MAUS TRATOS NO ÂMBITO DO ESTADO DO RIO DE JANEIRO."/>
    <s v="CHICO MACHADO"/>
    <x v="0"/>
    <x v="0"/>
    <s v="Sim"/>
    <s v="4ªRE_x000a_11/06/2025"/>
    <m/>
    <m/>
    <m/>
    <m/>
    <m/>
    <m/>
    <m/>
    <x v="0"/>
    <m/>
    <m/>
    <m/>
    <m/>
    <s v="http://alerjln1.alerj.rj.gov.br/scpro1923.nsf/18c1dd68f96be3e7832566ec0018d833/c3ab1fe3efa96fc5032586f500419f82?OpenDocument"/>
  </r>
  <r>
    <x v="0"/>
    <s v="2019"/>
    <s v="39/2019"/>
    <s v="DISPÕE SOBRE A AFIXAÇÃO DE CARTAZES NAS UNIDADES DE SAÚDE INFORMANDO A COMUNICAÇÃO COMPULSÓRIA ÀS AUTORIDADES COMPETENTES DE CRIMES DE AÇÃO PÚBLICA NA FORMA QUE MENCIONA"/>
    <s v="MÁRCIO CANELLA"/>
    <x v="0"/>
    <x v="0"/>
    <m/>
    <s v="2ªRE_x000a_29/04/2025"/>
    <m/>
    <m/>
    <m/>
    <m/>
    <m/>
    <m/>
    <m/>
    <x v="0"/>
    <m/>
    <m/>
    <m/>
    <m/>
    <s v="http://alerjln1.alerj.rj.gov.br/scpro1923.nsf/18c1dd68f96be3e7832566ec0018d833/36b7eb5ee065eaa18325839a004f8b1f?OpenDocument"/>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s v="2ªRE_x000a_29/04/2025"/>
    <m/>
    <m/>
    <m/>
    <m/>
    <m/>
    <m/>
    <m/>
    <x v="0"/>
    <m/>
    <m/>
    <m/>
    <m/>
    <s v="http://alerjln1.alerj.rj.gov.br/scpro2327.nsf/18c1dd68f96be3e7832566ec0018d833/37abbaa7aa17260b0325894a00534738?OpenDocument"/>
  </r>
  <r>
    <x v="0"/>
    <s v="2022"/>
    <s v="5728/2022"/>
    <s v="FICA REVOGADA A LEI N.º 9.277 DE 18 DE MAIO DE 2021, QUE DISPÕE SOBRE AS GARANTIAS CONSTITUCIONAIS NO AMBIENTE ESCOLAR DAS REDES DE ENSINO PÚBLICA E PRIVADA DO ESTADO DO RIO DE JANEIRO."/>
    <s v="RODRIGO AMORIM"/>
    <x v="1"/>
    <x v="1"/>
    <s v="18/09/2025"/>
    <s v="6ªRE_x000a_02/09/2025"/>
    <d v="2025-09-02T00:00:00"/>
    <m/>
    <m/>
    <m/>
    <m/>
    <m/>
    <m/>
    <x v="0"/>
    <s v="POSSÚI APENSOS"/>
    <m/>
    <m/>
    <m/>
    <s v="&lt;a href='http://alerjln1.alerj.rj.gov.br/scpro1923.nsf/18c1dd68f96be3e7832566ec0018d833/e315fe8a50a3029a032588160070c2c2?OpenDocument'&gt; LINK&lt;/a&gt;"/>
  </r>
  <r>
    <x v="0"/>
    <s v="2024"/>
    <s v="3606/2024"/>
    <s v="INSTITUI A POLÍTICA DE PREVENÇÃO ÀS AMPUTAÇÕES EM PESSOAS PORTADORES DE DIABETES E DÁ OUTRAS PROVIDÊNCIAS"/>
    <s v="DR. PEDRO RICARDO"/>
    <x v="2"/>
    <x v="2"/>
    <s v="19/09/2025"/>
    <s v="6ªRE_x000a_02/09/2025"/>
    <d v="2025-09-02T00:00:00"/>
    <m/>
    <m/>
    <m/>
    <m/>
    <m/>
    <m/>
    <x v="0"/>
    <m/>
    <m/>
    <m/>
    <m/>
    <s v="&lt;a href='http://alerjln1.alerj.rj.gov.br/scpro2327.nsf/18c1dd68f96be3e7832566ec0018d833/a27d98777117360b03258b2500583259?OpenDocument'&gt; LINK&lt;/a&gt;"/>
  </r>
  <r>
    <x v="0"/>
    <s v="2022"/>
    <s v="5344/2022"/>
    <s v="DISPÕE SOBRE A IMPLANTAÇÃO DO PROGRAMA COLETIVO AUTISTA DAS UNIVERSIDADES PÚBLICAS DO ESTADO DO RIO DE JANEIRO."/>
    <s v="ROSENVERG REIS"/>
    <x v="2"/>
    <x v="3"/>
    <s v="19/09/2025"/>
    <s v="6ªRE_x000a_02/09/2025"/>
    <d v="2025-09-02T00:00:00"/>
    <m/>
    <m/>
    <m/>
    <m/>
    <m/>
    <m/>
    <x v="0"/>
    <m/>
    <m/>
    <m/>
    <m/>
    <s v="http://alerjln1.alerj.rj.gov.br/scpro1923.nsf/18c1dd68f96be3e7832566ec0018d833/db4e5f81f18b0931032587e3005d6d3c?OpenDocument"/>
  </r>
  <r>
    <x v="0"/>
    <s v="2015"/>
    <s v="664/2015"/>
    <s v="DISPÕE SOBRE O PLANTIO OBRIGATÓRIO DE ÁRVORES EM NOVOS EMPREENDIMENTOS IMOBILIÁRIOS, PÚBLICOS OU PRIVADOS,  COMERCIAIS OU INDUSTRIAIS, NO ESTADO DO RIO DE JANEIRO."/>
    <s v="LUCINHA,MÁRCIO CANELLA,WAGUINHO"/>
    <x v="2"/>
    <x v="3"/>
    <s v="19/09/2025"/>
    <s v="6ªRE_x000a_02/09/2025"/>
    <d v="2025-09-02T00:00:00"/>
    <m/>
    <m/>
    <m/>
    <m/>
    <m/>
    <m/>
    <x v="0"/>
    <s v="POSSÚI APENSOS (1141/2015 E 2073/2016)"/>
    <m/>
    <m/>
    <m/>
    <s v="&lt;a href='http://alerjln1.alerj.rj.gov.br/scpro1519.nsf/18c1dd68f96be3e7832566ec0018d833/1332fd37f5a7b04683257e8a005cf64d?OpenDocument'&gt; LINK&lt;/a&gt;"/>
  </r>
  <r>
    <x v="0"/>
    <s v="2023"/>
    <s v="565/2023"/>
    <s v="AUTORIZA O PODER JUDICIÁRIO A INCLUIR O TERAPEUTA OCUPACIONAL NAS EQUIPES TÉCNICAS DE ATUAÇÃO NAS VARAS DA INFÂNCIA E DA JUVENTUDE E DÁ OUTRAS PROVIDÊNCIAS."/>
    <s v="OTONI DE PAULA"/>
    <x v="3"/>
    <x v="0"/>
    <m/>
    <s v="N/A"/>
    <m/>
    <m/>
    <m/>
    <m/>
    <m/>
    <m/>
    <m/>
    <x v="0"/>
    <s v="Parecer da CCJ por TIL, então foi encaminhado à SGMD"/>
    <m/>
    <m/>
    <m/>
    <s v="http://alerjln1.alerj.rj.gov.br/scpro2327.nsf/18c1dd68f96be3e7832566ec0018d833/b082d298c12ca59f03258980005507cd?OpenDocument"/>
  </r>
  <r>
    <x v="0"/>
    <s v="2018"/>
    <s v="EP 4438/2018"/>
    <s v="AMPLIA O PARQUE ESTADUAL DO MENDANHA."/>
    <s v="CARLOS MINC,ANDRÉ LAZARONI"/>
    <x v="3"/>
    <x v="4"/>
    <s v="17/09/2025"/>
    <s v="6ªRE_x000a_02/09/2025"/>
    <m/>
    <m/>
    <m/>
    <m/>
    <m/>
    <m/>
    <m/>
    <x v="0"/>
    <m/>
    <m/>
    <m/>
    <m/>
    <s v="http://alerjln1.alerj.rj.gov.br/scpro1519.nsf/18c1dd68f96be3e7832566ec0018d833/1640f1edb9e68e0483258312005c83a3?OpenDocument"/>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3"/>
    <s v="17/09/2025"/>
    <s v="6ªRE_x000a_02/09/2025"/>
    <d v="2025-09-02T00:00:00"/>
    <m/>
    <m/>
    <m/>
    <m/>
    <m/>
    <m/>
    <x v="0"/>
    <m/>
    <m/>
    <m/>
    <m/>
    <s v="&lt;a href='http://alerjln1.alerj.rj.gov.br/scpro2327.nsf/18c1dd68f96be3e7832566ec0018d833/67224724a3d6c4c703258aca005a26ee?OpenDocument'&gt; LINK&lt;/a&gt;"/>
  </r>
  <r>
    <x v="0"/>
    <s v="2023"/>
    <s v="144/2023"/>
    <s v="AUTORIZA O PODER EXECUTIVO ESTADUAL A ESTABELECER A &quot;ESCOLA DE CONSELHOS&quot; DO ESTADO DO RIO DE JANEIRO, NA FORMA QUE MENCIONA."/>
    <s v="MÁRCIO CANELLA"/>
    <x v="3"/>
    <x v="3"/>
    <s v="18/09/2025"/>
    <s v="6ªRE_x000a_02/09/2025"/>
    <d v="2025-09-02T00:00:00"/>
    <m/>
    <m/>
    <m/>
    <m/>
    <m/>
    <m/>
    <x v="0"/>
    <m/>
    <m/>
    <m/>
    <m/>
    <s v="&lt;a href='http://alerjln1.alerj.rj.gov.br/scpro2327.nsf/18c1dd68f96be3e7832566ec0018d833/03ada5440a43464b0325894a0059da00?OpenDocument'&gt; LINK&lt;/a&gt;"/>
  </r>
  <r>
    <x v="0"/>
    <s v="2023"/>
    <s v="1823/2023"/>
    <s v="ALTERA A LEI Nº 8.538, DE 27 DE SETEMBRO DE 2019, NA FORMA QUE MENCIONA."/>
    <s v="JARI OLIVEIRA"/>
    <x v="3"/>
    <x v="3"/>
    <s v="18/09/2025"/>
    <s v="6ªRE_x000a_02/09/2025"/>
    <d v="2025-09-02T00:00:00"/>
    <m/>
    <m/>
    <m/>
    <m/>
    <m/>
    <m/>
    <x v="0"/>
    <m/>
    <m/>
    <m/>
    <m/>
    <s v="&lt;a href='http://alerjln1.alerj.rj.gov.br/scpro2327.nsf/18c1dd68f96be3e7832566ec0018d833/57da9eb0ffb3725903258a14005e456e?OpenDocument'&gt; LINK&lt;/a&gt;"/>
  </r>
  <r>
    <x v="0"/>
    <s v="2023"/>
    <s v="EP 1740/2023"/>
    <s v="DISPÕE SOBRE A REALIZAÇÃO DE EXAME CLÍNICO/ORTOPÉDICO PARA DIAGNÓSTICO DO PÉ TORTO CONGÊNITO (PTC) EM RECÉM-NASCIDOS NAS UNIDADES HOSPITALARES DO ESTADO DO RIO DE JANEIRO E DÁ OUTRAS PROVIDÊNCIAS."/>
    <s v="RODRIGO BACELLAR"/>
    <x v="1"/>
    <x v="5"/>
    <s v="18/09/2025"/>
    <s v="6ªRE_x000a_02/09/2025"/>
    <m/>
    <m/>
    <m/>
    <m/>
    <m/>
    <m/>
    <m/>
    <x v="0"/>
    <m/>
    <m/>
    <m/>
    <m/>
    <s v="http://alerjln1.alerj.rj.gov.br/scpro2327.nsf/18c1dd68f96be3e7832566ec0018d833/ef6837cfaea9100803258a0c005a0702?OpenDocument"/>
  </r>
  <r>
    <x v="0"/>
    <s v="2019"/>
    <s v="1269/2019"/>
    <s v="AUTORIZA O ESTADO DO RIO DE JANEIRO A UTILIZAR VEÍCULOS AUTOMOTORES APREENDIDOS EM RAZÃO DA PRÁTICA DE ILÍCITOS ADMINISTRATIVOS OU PENAIS E DÁ OUTRAS PROVIDÊNCIAS."/>
    <s v="RODRIGO AMORIM"/>
    <x v="1"/>
    <x v="3"/>
    <s v="18/09/2025"/>
    <s v="6ªRE_x000a_02/09/2025"/>
    <d v="2025-09-02T00:00:00"/>
    <m/>
    <m/>
    <m/>
    <m/>
    <m/>
    <m/>
    <x v="0"/>
    <m/>
    <m/>
    <m/>
    <m/>
    <s v="&lt;a href='http://alerjln1.alerj.rj.gov.br/scpro1923.nsf/18c1dd68f96be3e7832566ec0018d833/72b456d3337188a5832584770068ae55?OpenDocument'&gt; LINK&lt;/a&gt;"/>
  </r>
  <r>
    <x v="0"/>
    <s v="2019"/>
    <s v="1191/2019"/>
    <s v="CRIA O PROGRAMA ESTADUAL DE TRATAMENTO DIGNO DOS ANIMAIS DE RUA NO ÂMBITO DO ESTADO DO RIO DE JANEIRO."/>
    <s v="DANNIEL LIBRELON"/>
    <x v="1"/>
    <x v="2"/>
    <s v="18/09/2025"/>
    <s v="6ªRE_x000a_02/09/2025"/>
    <d v="2025-09-02T00:00:00"/>
    <m/>
    <m/>
    <m/>
    <m/>
    <m/>
    <m/>
    <x v="0"/>
    <s v="apenso 1265/2023"/>
    <m/>
    <m/>
    <m/>
    <s v="&lt;a href='http://alerjln1.alerj.rj.gov.br/scpro1923.nsf/18c1dd68f96be3e7832566ec0018d833/390e51d4b94a10898325846a005adc8d?OpenDocument'&gt; LINK&lt;/a&gt;"/>
  </r>
  <r>
    <x v="0"/>
    <s v="2023"/>
    <s v="270/2023"/>
    <s v="DISPÕE SOBRE A IMUNIZAÇÃO DE IDOSOS COM A VACINA CONTRA A PNEUMONIA, NA REDE PÚBLICA DE SAÚDE DO ESTADO DO RIO DE JANEIRO"/>
    <s v="FRED PACHECO"/>
    <x v="1"/>
    <x v="0"/>
    <s v="Sim"/>
    <s v="4ªRE_x000a_11/06/2025"/>
    <m/>
    <m/>
    <m/>
    <m/>
    <m/>
    <m/>
    <m/>
    <x v="0"/>
    <m/>
    <m/>
    <m/>
    <m/>
    <s v="http://alerjln1.alerj.rj.gov.br/scpro2327.nsf/18c1dd68f96be3e7832566ec0018d833/2d9a3e0fa759a8250325896400627f61?OpenDocument"/>
  </r>
  <r>
    <x v="0"/>
    <s v="2023"/>
    <s v="2227/2023"/>
    <s v="INSTITUI A SEMANA DE DEFESA E CELEBRAÇÃO DA SOBERANIA ENERGÉTICA"/>
    <s v="MARINA DO MST"/>
    <x v="1"/>
    <x v="0"/>
    <s v="Sim"/>
    <s v="4ªRE_x000a_11/06/2025"/>
    <m/>
    <m/>
    <m/>
    <m/>
    <m/>
    <m/>
    <m/>
    <x v="0"/>
    <m/>
    <m/>
    <m/>
    <m/>
    <s v="http://alerjln1.alerj.rj.gov.br/scpro2327.nsf/18c1dd68f96be3e7832566ec0018d833/5016d688b032d58f03258a38005dd673?OpenDocument"/>
  </r>
  <r>
    <x v="0"/>
    <s v="2019"/>
    <s v="1321/2019"/>
    <s v="DISPÕE SOBRE O INGRESSO DE ALIMENTOS E BEBIDAS NÃO ALCOÓLICAS, LEVADOS PELOS CONSUMIDORES ÀS ARENAS ESPORTIVAS E LOCAIS DE ENTRETENIMENTOS E DÁ OUTRAS PROVIDÊNCIAS"/>
    <s v="DIONÍSIO LINS"/>
    <x v="1"/>
    <x v="0"/>
    <s v="Sim"/>
    <s v="4ªRE_x000a_11/06/2025"/>
    <m/>
    <m/>
    <m/>
    <m/>
    <m/>
    <m/>
    <m/>
    <x v="0"/>
    <m/>
    <m/>
    <m/>
    <m/>
    <s v="http://alerjln1.alerj.rj.gov.br/scpro1923.nsf/18c1dd68f96be3e7832566ec0018d833/7cb31320ef313e7a832584700046e3df?OpenDocument"/>
  </r>
  <r>
    <x v="0"/>
    <s v="2023"/>
    <s v="439/2023"/>
    <s v="DISPÕE SOBRE A OBRIGATORIEDADE DE FUNCIONAMENTO DAS CABINES DE COBRANÇA NAS PRAÇAS DE PEDÁGIO DAS RODOVIAS ESTADUAIS, NA FORMA QUE MENCIONA"/>
    <s v="JULIO ROCHA"/>
    <x v="1"/>
    <x v="0"/>
    <s v="Sim"/>
    <s v="4ªRE_x000a_11/06/2025"/>
    <m/>
    <m/>
    <m/>
    <m/>
    <m/>
    <m/>
    <m/>
    <x v="0"/>
    <m/>
    <m/>
    <m/>
    <m/>
    <s v="http://alerjln1.alerj.rj.gov.br/scpro2327.nsf/18c1dd68f96be3e7832566ec0018d833/cf64ca635e01213403258973005ef2aa?OpenDocument"/>
  </r>
  <r>
    <x v="0"/>
    <s v="2023"/>
    <s v="149/2023"/>
    <s v="REGULAMENTA A DISTÂNCIA MÍNIMA E MÁXIMA ESTRE A TELA DE PROJEÇÃO E A PRIMEIRA E ÚLTIMA FILEIRAS DE POLTRONAS NOS CINEMAS, E DÁ OUTRAS PROVIDÊNCIAS"/>
    <s v="MÁRCIO CANELLA"/>
    <x v="1"/>
    <x v="0"/>
    <s v="Sim"/>
    <s v="4ªRE_x000a_11/06/2025"/>
    <m/>
    <m/>
    <m/>
    <m/>
    <m/>
    <m/>
    <m/>
    <x v="0"/>
    <m/>
    <m/>
    <m/>
    <m/>
    <s v="http://alerjln1.alerj.rj.gov.br/scpro2327.nsf/18c1dd68f96be3e7832566ec0018d833/ea0fb1606de09d580325894f00508dd0?OpenDocument"/>
  </r>
  <r>
    <x v="0"/>
    <s v="2020"/>
    <s v="3433/2020"/>
    <s v="INSTITUI A CAMPANHA DE CONSCIENTIZAÇÃO SOBRE A CASTRAÇÃO E COMBATE AO CÂNCER EM ANIMAIS, NO ÂMBITO DO ESTADO DO RIO DE JANEIRO, E DÁ OUTRAS PROVIDÊNCIAS"/>
    <s v="DANNIEL LIBRELON"/>
    <x v="1"/>
    <x v="0"/>
    <s v="Sim"/>
    <s v="4ªRE_x000a_11/06/2025"/>
    <m/>
    <m/>
    <m/>
    <m/>
    <m/>
    <m/>
    <m/>
    <x v="0"/>
    <m/>
    <m/>
    <m/>
    <m/>
    <s v="http://alerjln1.alerj.rj.gov.br/scpro1923.nsf/18c1dd68f96be3e7832566ec0018d833/4a216affaa98285a0325863800629e16?OpenDocument"/>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s v="4ªRE_x000a_11/06/2025"/>
    <m/>
    <m/>
    <m/>
    <m/>
    <m/>
    <m/>
    <m/>
    <x v="0"/>
    <m/>
    <m/>
    <m/>
    <m/>
    <s v="http://alerjln1.alerj.rj.gov.br/scpro1923.nsf/18c1dd68f96be3e7832566ec0018d833/672af5af84431a39032587de00654570?OpenDocument"/>
  </r>
  <r>
    <x v="0"/>
    <s v="2022"/>
    <s v="5348/2022"/>
    <s v="DISPÕE SOBRE NOMEAÇÃO E POSSE DE PROFESSORES APROVADOS NO ÚLTIMO CONCURSO PÚBLICO PARA O PREENCHIMENTO DE CARGOS DA SECRETARIA DE ESTADO DE EDUCAÇÃO"/>
    <s v="CARLOS MINC"/>
    <x v="0"/>
    <x v="0"/>
    <s v="Sim"/>
    <s v="4ªRE_x000a_11/06/2025"/>
    <m/>
    <m/>
    <m/>
    <m/>
    <m/>
    <m/>
    <m/>
    <x v="1"/>
    <s v="10/07/2025 - aguardando pegar assinaturas"/>
    <m/>
    <m/>
    <m/>
    <s v="http://alerjln1.alerj.rj.gov.br/scpro1923.nsf/18c1dd68f96be3e7832566ec0018d833/826b97c45f89a02c032587e3005e2809?OpenDocument"/>
  </r>
  <r>
    <x v="0"/>
    <s v="2022"/>
    <s v="5524/2022"/>
    <s v="ALTERA A LEI Nº 7258 DE 12 DE ABRIL 2016, QUE “ESTABELECE REGIME DE COTAS PARA PESSOAS COM DEFICIÊNCIA PARA AS EMPRESAS QUE FIRMAREM CONTRATO COM O ESTADO DO RIO DE JANEIRO E DÁ OUTRAS PROVIDÊNCIAS"/>
    <s v="TIA JU"/>
    <x v="0"/>
    <x v="0"/>
    <s v="Sim"/>
    <s v="4ªRE_x000a_11/06/2025"/>
    <m/>
    <m/>
    <m/>
    <m/>
    <m/>
    <m/>
    <m/>
    <x v="0"/>
    <m/>
    <m/>
    <m/>
    <m/>
    <m/>
  </r>
  <r>
    <x v="0"/>
    <s v="2022"/>
    <s v="6431/2022"/>
    <s v="TORNA OBRIGATÓRIO CONSTAR NOS EXAMES DE PRÉ-NATAL O TESTE HTLV PARA AS GESTANTES"/>
    <s v="FRANCIANE MOTTA"/>
    <x v="2"/>
    <x v="0"/>
    <s v="Sim"/>
    <s v="4ªRE_x000a_11/06/2025"/>
    <m/>
    <m/>
    <m/>
    <m/>
    <m/>
    <m/>
    <m/>
    <x v="0"/>
    <m/>
    <m/>
    <m/>
    <m/>
    <m/>
  </r>
  <r>
    <x v="0"/>
    <s v="2022"/>
    <s v="6390/2022"/>
    <s v="ALTERA A LEI Nº 9.384, DE 26 DE AGOSTO DE 2021, QUE DISPÕE SOBRE POLÍTICA ESTADUAL PARA A PREVENÇÃO E CONTROLE DA NEOPLASIA MALIGNA NO ESTADO DO RIO DE JANEIRO"/>
    <s v="DANNIEL LIBRELON"/>
    <x v="2"/>
    <x v="0"/>
    <s v="Sim"/>
    <s v="4ªRE_x000a_11/06/2025"/>
    <m/>
    <m/>
    <m/>
    <m/>
    <m/>
    <m/>
    <m/>
    <x v="0"/>
    <m/>
    <m/>
    <m/>
    <m/>
    <m/>
  </r>
  <r>
    <x v="0"/>
    <s v="2022"/>
    <s v="6333/2022"/>
    <s v="DISPÕE SOBRE A INSERÇÃO DE ESPORTES OLÍMPICOS NA GRADE CURRICULAR DAS ESCOLAS PÚBLICAS DO ESTADO DO RIO DE JANEIRO"/>
    <s v="CARLOS MINC"/>
    <x v="2"/>
    <x v="0"/>
    <s v="Sim"/>
    <s v="4ªRE_x000a_11/06/2025"/>
    <m/>
    <m/>
    <m/>
    <m/>
    <m/>
    <m/>
    <m/>
    <x v="0"/>
    <m/>
    <m/>
    <m/>
    <m/>
    <m/>
  </r>
  <r>
    <x v="0"/>
    <s v="2020"/>
    <s v="3026/2020"/>
    <s v="DISPÕE SOBRE A UTILIZAÇÃO DE VAGÕES DE METRÔ, TRENS E NAS BARCAS PARA EXPOSIÇÃO ININTERRUPTA DE FOTOS DE PESSOAS DESAPARECIDAS NO ESTADO DO RIO DE JANEIRO"/>
    <s v="DANNIEL LIBRELON"/>
    <x v="2"/>
    <x v="0"/>
    <s v="Sim"/>
    <s v="4ªRE_x000a_11/06/2025"/>
    <m/>
    <m/>
    <m/>
    <m/>
    <m/>
    <m/>
    <m/>
    <x v="0"/>
    <m/>
    <m/>
    <m/>
    <m/>
    <m/>
  </r>
  <r>
    <x v="0"/>
    <s v="2020"/>
    <s v="3441/2020"/>
    <s v="DISPÕE SOBRE A POLÍTICA ESTADUAL DE CONSCIENTIZAÇÃO E INFORMAÇÃO SOBRE A ACROMEGALIA NO ÂMBITO DO ESTADO DO RIO DE JANEIRO E DÁ OUTRAS PROVIDÊNCIAS"/>
    <s v="DANNIEL LIBRELON"/>
    <x v="2"/>
    <x v="0"/>
    <s v="Sim"/>
    <s v="4ªRE_x000a_11/06/2025"/>
    <m/>
    <m/>
    <m/>
    <m/>
    <m/>
    <m/>
    <m/>
    <x v="0"/>
    <m/>
    <m/>
    <m/>
    <m/>
    <m/>
  </r>
  <r>
    <x v="0"/>
    <s v="2023"/>
    <s v="1676/2023"/>
    <s v="ISENTA DO PAGAMENTO DE TAXA DE INSCRIÇÃO EM CONCURSO PÚBLICO NO ÂMBITO DO ESTADO DO RIO DE JANEIRO AS CANDIDATAS VÍTIMAS DE VIOLÊNCIA DOMÉSTICA E FAMILIAR"/>
    <s v="CARLINHOS BNH"/>
    <x v="2"/>
    <x v="0"/>
    <s v="Sim"/>
    <s v="4ªRE_x000a_11/06/2025"/>
    <m/>
    <m/>
    <m/>
    <m/>
    <m/>
    <m/>
    <m/>
    <x v="0"/>
    <m/>
    <m/>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s v="4ªRE_x000a_11/06/2025"/>
    <m/>
    <m/>
    <m/>
    <m/>
    <m/>
    <m/>
    <m/>
    <x v="0"/>
    <m/>
    <m/>
    <m/>
    <m/>
    <s v="http://alerjln1.alerj.rj.gov.br/scpro2327.nsf/18c1dd68f96be3e7832566ec0018d833/c589612d90b8421f03258a2100586983?OpenDocument"/>
  </r>
  <r>
    <x v="0"/>
    <s v="2020"/>
    <s v="2917/2020"/>
    <s v="ALTERA O ANEXO DA LEI Nº 5645, DE 6 DE JANEIRO DE 2010, INCLUINDO NO _x000a_CALENDÁRIO OFICIAL DO ESTADO DO RIO DE JANEIRO A SEMANA ESTADUAL DA   CONSCIENTIZAÇÃO SOBRE A ESQUIZOFRENIA"/>
    <s v="DANNIEL LIBRELON"/>
    <x v="2"/>
    <x v="0"/>
    <s v="Sim"/>
    <s v="4ªRE_x000a_11/06/2025"/>
    <m/>
    <m/>
    <m/>
    <m/>
    <m/>
    <m/>
    <m/>
    <x v="0"/>
    <m/>
    <m/>
    <m/>
    <m/>
    <m/>
  </r>
  <r>
    <x v="0"/>
    <s v="2020"/>
    <s v="3179/2020"/>
    <s v="ALTERA O ANEXO DA LEI Nº 5645, DE 6 DE JANEIRO DE 2010, INCLUINDO NO CALENDÁRIO OFICIAL DO ESTADO DO RIO DE JANEIRO A SEMANA ESTADUAL DE SENSIBILIZAÇÃO À PERDA GESTACIONAL, NEONATAL E INFANTIL"/>
    <s v="DANNIEL LIBRELON"/>
    <x v="2"/>
    <x v="0"/>
    <s v="Sim"/>
    <s v="4ªRE_x000a_11/06/2025"/>
    <m/>
    <m/>
    <m/>
    <m/>
    <m/>
    <m/>
    <m/>
    <x v="0"/>
    <m/>
    <m/>
    <m/>
    <m/>
    <m/>
  </r>
  <r>
    <x v="0"/>
    <s v="2021"/>
    <s v="3858/2021"/>
    <s v="ASSEGURA, IRRESTRITAMENTE, O DIREITO CONSTITUCIONAL DE MANIFESTAÇÃO E DE REUNIÃO NO ESTADO DO RIO DE JANEIRO E DÁ OUTRAS MEDIDAS"/>
    <s v="ANDERSON MORAES"/>
    <x v="2"/>
    <x v="0"/>
    <s v="Sim"/>
    <s v="4ªRE_x000a_11/06/2025"/>
    <m/>
    <m/>
    <m/>
    <m/>
    <m/>
    <m/>
    <m/>
    <x v="0"/>
    <m/>
    <m/>
    <m/>
    <m/>
    <m/>
  </r>
  <r>
    <x v="0"/>
    <s v="2021"/>
    <s v="4676/2021"/>
    <s v="ALTERA O ANEXO DA LEI Nº 5645, DE 6 DE JANEIRO DE 2010, INCLUINDO NO CALENDÁRIO OFICIAL DO ESTADO DO RIO DE JANEIRO A SEMANA ESTADUAL DA EDUCAÇÃO PARALÍMPICA"/>
    <s v="DANNIEL LIBRELON"/>
    <x v="2"/>
    <x v="0"/>
    <s v="Sim"/>
    <s v="4ªRE_x000a_11/06/2025"/>
    <m/>
    <m/>
    <m/>
    <m/>
    <m/>
    <m/>
    <m/>
    <x v="0"/>
    <m/>
    <m/>
    <m/>
    <m/>
    <m/>
  </r>
  <r>
    <x v="0"/>
    <s v="2022"/>
    <s v="5312/2022"/>
    <s v="ALTERA A LEI ESTADUAL Nº 8355, DE 01 DE ABRIL DE 2019, QUE DISPÕE SOBRE O DIREITO DE AMAMENTAR DURANTE A REALIZAÇÃO DE CONCURSOS PÚBLICOS ESTADUAIS E DÁ OUTRAS PROVIDÊNCIAS"/>
    <s v="ROSENVERG REIS"/>
    <x v="2"/>
    <x v="0"/>
    <s v="Sim"/>
    <s v="4ªRE_x000a_11/06/2025"/>
    <m/>
    <m/>
    <m/>
    <m/>
    <m/>
    <m/>
    <m/>
    <x v="0"/>
    <m/>
    <m/>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s v="4ªRE_x000a_11/06/2025"/>
    <m/>
    <m/>
    <m/>
    <m/>
    <m/>
    <m/>
    <m/>
    <x v="0"/>
    <m/>
    <m/>
    <m/>
    <m/>
    <m/>
  </r>
  <r>
    <x v="0"/>
    <s v="2022"/>
    <s v="6295/2022"/>
    <s v="INSTITUI O PROGRAMA “ÓCULOS FALANTES” PARA OS DEFICIENTES VISUAIS NAS BIBLIOTECAS E NA REDE PÚBLICA DE EDUCAÇÃO DO ESTADO DO RIO DE JANEIRO"/>
    <s v="DR DEODALTO"/>
    <x v="2"/>
    <x v="0"/>
    <s v="Sim"/>
    <s v="4ªRE_x000a_11/06/2025"/>
    <m/>
    <m/>
    <m/>
    <m/>
    <m/>
    <m/>
    <m/>
    <x v="0"/>
    <m/>
    <m/>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s v="4ªRE_x000a_11/06/2025"/>
    <m/>
    <m/>
    <m/>
    <m/>
    <m/>
    <m/>
    <m/>
    <x v="0"/>
    <m/>
    <m/>
    <m/>
    <m/>
    <m/>
  </r>
  <r>
    <x v="0"/>
    <s v="2023"/>
    <s v="321/2023"/>
    <s v="INSTITUI O PROGRAMA IDOSO ATIVO, NO ÂMBITO DO ESTADO DO RIO DE JANEIRO"/>
    <s v="FRED PACHECO"/>
    <x v="2"/>
    <x v="0"/>
    <s v="Sim"/>
    <s v="4ªRE_x000a_11/06/2025"/>
    <m/>
    <m/>
    <m/>
    <m/>
    <m/>
    <m/>
    <m/>
    <x v="0"/>
    <m/>
    <m/>
    <m/>
    <m/>
    <m/>
  </r>
  <r>
    <x v="0"/>
    <s v="2023"/>
    <s v="374/2023"/>
    <s v="INSTITUI NO ÂMBITO DO RIO DE JANEIRO O PROGRAMA ORQUESTRA NAS ESCOLAS E DÁ OUTRAS PROVIDÊNCIAS"/>
    <s v="MARTHA ROCHA"/>
    <x v="2"/>
    <x v="0"/>
    <s v="Sim"/>
    <s v="4ªRE_x000a_11/06/2025"/>
    <m/>
    <m/>
    <m/>
    <m/>
    <m/>
    <m/>
    <m/>
    <x v="0"/>
    <m/>
    <m/>
    <m/>
    <m/>
    <m/>
  </r>
  <r>
    <x v="0"/>
    <s v="2023"/>
    <s v="903/2023"/>
    <s v="INSTITUI O SERVIÇO PERMANENTE, VIA APLICATIVO, PARA RECEBER DENÚNCIA DE VIOLÊNCIA PRATICADA CONTRA CRIANÇAS E ADOLESCENTES, NO ÂMBITO DA ESFERA GOVERNAMENTAL DO ESTADO DO RIO DE JANEIRO"/>
    <s v="VINÍCIUS COZZOLINO"/>
    <x v="2"/>
    <x v="0"/>
    <s v="Sim"/>
    <s v="4ªRE_x000a_11/06/2025"/>
    <m/>
    <m/>
    <m/>
    <m/>
    <m/>
    <m/>
    <m/>
    <x v="0"/>
    <s v="TEM APENSO"/>
    <m/>
    <m/>
    <m/>
    <m/>
  </r>
  <r>
    <x v="0"/>
    <s v="2023"/>
    <s v="1026/2023"/>
    <s v="CRIA O PROGRAMA DE DOAÇÃO DE SENSORES DE GLICOSE LIBRE FREESTYLE, PARA PORTADORES DE DIABETES DO ESTADO DO RIO DE JANEIRO"/>
    <s v="VINÍCIUS COZZOLINO"/>
    <x v="2"/>
    <x v="0"/>
    <s v="Sim"/>
    <s v="4ªRE_x000a_11/06/2025"/>
    <m/>
    <m/>
    <m/>
    <m/>
    <m/>
    <m/>
    <m/>
    <x v="0"/>
    <m/>
    <m/>
    <m/>
    <m/>
    <m/>
  </r>
  <r>
    <x v="0"/>
    <s v="2023"/>
    <s v="1079/2023"/>
    <s v="DISPÕE SOBRE A OBRIGATORIEDADE DE ACESSIBILIDADE DOS SITES PÚBLICOS E PRIVADOS NO ÂMBITO DO ESTADO DO RIO DE JANEIRO"/>
    <s v="FRED PACHECO"/>
    <x v="2"/>
    <x v="0"/>
    <s v="Sim"/>
    <s v="4ªRE_x000a_11/06/2025"/>
    <m/>
    <m/>
    <m/>
    <m/>
    <m/>
    <m/>
    <m/>
    <x v="0"/>
    <m/>
    <m/>
    <m/>
    <m/>
    <m/>
  </r>
  <r>
    <x v="0"/>
    <s v="2023"/>
    <s v="1189/2023"/>
    <s v="DECLARA O “CONTAÇÃO DE HISTÓRIAS EM ESPAÇO PÚBLICO” –, COMO PATRIMÔNIO IMATERIAL, HISTÓRICO E CULTURAL, DO ESTADO DO RIO DE JANEIRO"/>
    <s v="ELIKA TAKIMOTO"/>
    <x v="2"/>
    <x v="0"/>
    <s v="Sim"/>
    <s v="4ªRE_x000a_11/06/2025"/>
    <m/>
    <m/>
    <m/>
    <m/>
    <m/>
    <m/>
    <m/>
    <x v="0"/>
    <m/>
    <m/>
    <m/>
    <m/>
    <m/>
  </r>
  <r>
    <x v="0"/>
    <s v="2023"/>
    <s v="1234/2023"/>
    <s v="ALTERA A LEI Nº 3.852, DE 14 DE JUNHO DE 2002, QUE DISPÕE SOBRE A PUBLICIDADE OFICIAL DO ESTADO DO RIO DE JANEIRO, NA FORMA QUE MENCIONA"/>
    <s v="ALAN LOPES"/>
    <x v="2"/>
    <x v="0"/>
    <s v="Sim"/>
    <s v="4ªRE_x000a_11/06/2025"/>
    <m/>
    <m/>
    <m/>
    <m/>
    <m/>
    <m/>
    <m/>
    <x v="0"/>
    <m/>
    <m/>
    <m/>
    <m/>
    <m/>
  </r>
  <r>
    <x v="0"/>
    <s v="2023"/>
    <s v="2714/2023"/>
    <s v="PERMITE O USO DE BENS IMÓVEIS E TERRENOS ESTADUAIS POR GRUPOS DE ESCOTEIROS E NÚCLEOS DE BANDEIRANTES"/>
    <s v="FRED PACHECO"/>
    <x v="2"/>
    <x v="0"/>
    <s v="Sim"/>
    <s v="4ªRE_x000a_11/06/2025"/>
    <m/>
    <m/>
    <m/>
    <m/>
    <m/>
    <m/>
    <m/>
    <x v="0"/>
    <m/>
    <m/>
    <m/>
    <m/>
    <m/>
  </r>
  <r>
    <x v="0"/>
    <s v="2024"/>
    <s v="3012/2024"/>
    <s v="DECLARA A FOCUS COMPANHIA DE DANÇA COMO PATRIMÔNIO HISTÓRICO CULTURAL E ARTÍSTICO DE NATUREZA IMATERIAL DO ESTADO DO RIO DE JANEIRO"/>
    <s v="ELIKA TAKIMOTO"/>
    <x v="2"/>
    <x v="0"/>
    <s v="Sim"/>
    <s v="4ªRE_x000a_11/06/2025"/>
    <m/>
    <m/>
    <m/>
    <m/>
    <m/>
    <m/>
    <m/>
    <x v="0"/>
    <m/>
    <m/>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6"/>
    <m/>
    <s v="PLENÁRIO"/>
    <d v="2025-06-11T00:00:00"/>
    <m/>
    <m/>
    <d v="2026-05-18T00:00:00"/>
    <m/>
    <m/>
    <m/>
    <x v="0"/>
    <s v="Fui ao gabinete em 13/04/2026 e anotei esses projeto parados lá_x000a_Retirei do gab. Do relator ANDRÉ CORREA, pois mudou a composição da Com._x000a_** Retirado em 18/05 para ir a plenário"/>
    <m/>
    <m/>
    <m/>
    <s v="http://alerjln1.alerj.rj.gov.br/scpro1923.nsf/18c1dd68f96be3e7832566ec0018d833/530e3234f10255fc0325887100676e30?OpenDocument"/>
  </r>
  <r>
    <x v="0"/>
    <s v="2023"/>
    <s v="663/2023"/>
    <s v="ALTERA O ANEXO DA LEI Nº 5.645, DE 6 DE JANEIRO DE 2010, INCLUINDO, NO CALENDÁRIO OFICIAL DO ESTADO DO RIO DE JANEIRO, A SEMANA DE COMUNICAÇÃO E MÍDIAS , COMO FOMENTO PARA REFLEXÕES SOBRE O SEU PAPEL NA EDUCAÇÃO."/>
    <s v="MUNIR NETO"/>
    <x v="5"/>
    <x v="6"/>
    <m/>
    <m/>
    <d v="2025-06-11T00:00:00"/>
    <d v="2026-05-26T00:00:00"/>
    <m/>
    <m/>
    <m/>
    <m/>
    <m/>
    <x v="1"/>
    <s v="Fui ao gabinete em 13/04/2026 e anotei esses projeto parados lá_x000a_Retirei do gab. Do relator ANDRÉ CORREA, pois mudou a composição da Com."/>
    <m/>
    <m/>
    <m/>
    <s v="http://alerjln1.alerj.rj.gov.br/scpro2327.nsf/18c1dd68f96be3e7832566ec0018d833/0f683e39c32f7b2003258988005cfbb1?OpenDocument"/>
  </r>
  <r>
    <x v="0"/>
    <s v="2022"/>
    <s v="5357/2022"/>
    <s v="DISPÕE SOBRE A INSTITUIÇÃO DE CURSOS GRATUITOS DESTINADOS À MULHER GESTANTE, SOBRE CUIDADOS E ATENDIMENTOS EMERGENCIAIS A CRIANÇAS DE ZERO A SEIS ANOS E DÁ OUTRAS PROVIDÊNCIAS."/>
    <s v="MARTHA ROCHA"/>
    <x v="3"/>
    <x v="6"/>
    <m/>
    <m/>
    <m/>
    <d v="2026-05-26T00:00:00"/>
    <m/>
    <m/>
    <m/>
    <m/>
    <m/>
    <x v="1"/>
    <m/>
    <m/>
    <m/>
    <m/>
    <s v="http://alerjln1.alerj.rj.gov.br/scpro1923.nsf/18c1dd68f96be3e7832566ec0018d833/19801f35475f2ea9032587e30062f397?OpenDocument"/>
  </r>
  <r>
    <x v="0"/>
    <s v="2024"/>
    <s v="4454/2024"/>
    <s v="ALTERA A LEI Nº 8304 DE 28 DE FEVEREIRO DE 2019, QUE DISPÕE SOBRE A CRIAÇÃO DE PROGRAMAS DE INCENTIVO À PRÁTICA DE ATIVIDADES FÍSICAS NO ÂMBITO DO  ESTADO DO RIO DE JANEIRO"/>
    <s v="ÍNDIA ARMELAU"/>
    <x v="5"/>
    <x v="6"/>
    <m/>
    <m/>
    <m/>
    <d v="2026-05-26T00:00:00"/>
    <m/>
    <m/>
    <m/>
    <m/>
    <m/>
    <x v="1"/>
    <m/>
    <m/>
    <m/>
    <m/>
    <s v="http://alerjln1.alerj.rj.gov.br/scpro2327.nsf/18c1dd68f96be3e7832566ec0018d833/8a088bc4e89c91ed03258be0007017a3?OpenDocument"/>
  </r>
  <r>
    <x v="0"/>
    <s v="2024"/>
    <s v="3798/2024"/>
    <s v="RECONHECE A RELEVÂNCIA DO BEACH TENNIS COMO PRÁTICA ESPORTIVA E DE LAZER NO ESTADO DO RIO DE JANEIRO."/>
    <s v="RENAN JORDY"/>
    <x v="0"/>
    <x v="2"/>
    <s v="11/02/2026"/>
    <s v="8ªRE _x000a_16/12/2025"/>
    <m/>
    <m/>
    <d v="2025-10-02T00:00:00"/>
    <m/>
    <m/>
    <m/>
    <m/>
    <x v="2"/>
    <m/>
    <m/>
    <m/>
    <m/>
    <s v="http://alerjln1.alerj.rj.gov.br/scpro2327.nsf/18c1dd68f96be3e7832566ec0018d833/4ee2d17ae802da5603258b3b0058f2e6?OpenDocument"/>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6"/>
    <x v="3"/>
    <s v="22/09/2025"/>
    <s v="6ªRE_x000a_02/09/2025"/>
    <d v="2025-09-02T00:00:00"/>
    <m/>
    <d v="2025-08-12T00:00:00"/>
    <m/>
    <m/>
    <m/>
    <m/>
    <x v="0"/>
    <m/>
    <m/>
    <m/>
    <m/>
    <s v="&lt;a href='http://alerjln1.alerj.rj.gov.br/scpro2327.nsf/18c1dd68f96be3e7832566ec0018d833/271d7657169805d703258b390059eca1?OpenDocument'&gt; LINK&lt;/a&gt;"/>
  </r>
  <r>
    <x v="0"/>
    <s v="2023"/>
    <s v="398/2023"/>
    <s v="DETERMINA QUE SEJA DISPONIBILIZADO EM SITES E APLICATIVOS DE ÓRGÃOS PÚBLICOS UM ÍCONE DESTINADO A REALIZAÇÃO DE DENÚNCIAS RELACIONADAS AOS CRIMES COMETIDOS CONTRA MULHERES"/>
    <s v="RENATO MACHADO"/>
    <x v="6"/>
    <x v="6"/>
    <m/>
    <m/>
    <m/>
    <m/>
    <m/>
    <m/>
    <m/>
    <m/>
    <m/>
    <x v="1"/>
    <m/>
    <m/>
    <m/>
    <m/>
    <m/>
  </r>
  <r>
    <x v="0"/>
    <s v="2021"/>
    <s v="5095/2021"/>
    <s v="DISPÕE SOBRE O DEPÓSITO EM DINHEIRO DE FIANÇA ATRAVÉS DE PIX NAS DELEGACIAS DE POLÍCIA DO ESTADO DO RIO DE JANEIRO"/>
    <s v="DELEGADO CARLOS AUGUSTO"/>
    <x v="6"/>
    <x v="6"/>
    <m/>
    <m/>
    <m/>
    <m/>
    <m/>
    <m/>
    <m/>
    <m/>
    <m/>
    <x v="1"/>
    <m/>
    <m/>
    <m/>
    <m/>
    <m/>
  </r>
  <r>
    <x v="0"/>
    <s v="2021"/>
    <s v="3958/2021"/>
    <s v="INSTITUI O PROGRAMA DE USO DE VEÍCULOS AÉREOS NÃO TRIPULADOS POR ÓRGÃOS DE SEGURANÇA PÚBLICA, NO ÂMBITO DO ESTADO DO RIO DE JANEIRO"/>
    <s v="DANNIEL LIBRELON"/>
    <x v="6"/>
    <x v="2"/>
    <s v="22/09/2025"/>
    <s v="6ªRE_x000a_02/09/2025"/>
    <d v="2025-09-02T00:00:00"/>
    <m/>
    <d v="2025-08-12T00:00:00"/>
    <m/>
    <m/>
    <m/>
    <m/>
    <x v="0"/>
    <m/>
    <m/>
    <m/>
    <m/>
    <s v="&lt;a href='http://alerjln1.alerj.rj.gov.br/scpro1923.nsf/18c1dd68f96be3e7832566ec0018d833/339f9893f51f66b8032586ae006f1701?OpenDocument'&gt; LINK&lt;/a&gt;"/>
  </r>
  <r>
    <x v="0"/>
    <s v="2021"/>
    <s v="1295/2021"/>
    <m/>
    <s v="MÁRCIO CANELLA"/>
    <x v="6"/>
    <x v="6"/>
    <m/>
    <m/>
    <m/>
    <m/>
    <m/>
    <m/>
    <m/>
    <m/>
    <m/>
    <x v="1"/>
    <s v="Número anotado errado"/>
    <m/>
    <m/>
    <m/>
    <m/>
  </r>
  <r>
    <x v="0"/>
    <s v="2020"/>
    <s v="EP 2856/2020"/>
    <s v="AUTORIZA O PODER EXECUTIVO A CRIAR A ESCOLA DE MÚSICA POPULAR CARIOCA NO ESTADO DO RIO DE JANEIRO, E DÁ OUTRAS PROVIDÊNCIAS."/>
    <s v="RODRIGO AMORIM"/>
    <x v="6"/>
    <x v="7"/>
    <s v="23/09/2025"/>
    <s v="6ªRE_x000a_02/09/2025"/>
    <d v="2025-09-02T00:00:00"/>
    <m/>
    <d v="2025-08-12T00:00:00"/>
    <m/>
    <m/>
    <m/>
    <m/>
    <x v="0"/>
    <s v="falta lançar a distribuição"/>
    <m/>
    <m/>
    <m/>
    <s v="&lt;a href='http://alerjln1.alerj.rj.gov.br/scpro1923.nsf/18c1dd68f96be3e7832566ec0018d833/77054c787a198c8f0325859f00641838?OpenDocument'&gt; LINK&lt;/a&gt;"/>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7"/>
    <x v="1"/>
    <s v="23/12/2025"/>
    <s v="8ªRE _x000a_16/12/2025"/>
    <d v="2025-09-12T00:00:00"/>
    <m/>
    <d v="2025-08-13T00:00:00"/>
    <m/>
    <s v="CÉLIA JORDÃO"/>
    <m/>
    <d v="2025-10-23T00:00:00"/>
    <x v="1"/>
    <s v="VISTA DE CÉLIA JORDÃO EM 02-SET"/>
    <m/>
    <m/>
    <m/>
    <s v="http://alerjln1.alerj.rj.gov.br/scpro2327.nsf/34c4e2da9b17c0d3832566ec0018d830/c85b72a893a2a4af03258a37004d17b9?OpenDocument"/>
  </r>
  <r>
    <x v="0"/>
    <s v="2023"/>
    <s v="2622/2023"/>
    <s v="ALTERA A LEI Nº 8.561, DE 10 DE OUTUBRO DE 2019, QUE INSTITUI O PROGRAMA ESTADUAL DE APRENDIZAGEM NO ÂMBITO DO ESTADO DO RIO DE JANEIRO, PARA INCLUIR A PRIORIDADE DE VAGAS PARA JOVENS TUTELADOS"/>
    <s v="VINÍCIUS COZZOLINO"/>
    <x v="6"/>
    <x v="3"/>
    <s v="22/09/2025"/>
    <s v="6ªRE_x000a_02/09/2025"/>
    <d v="2025-09-02T00:00:00"/>
    <m/>
    <d v="2025-08-12T00:00:00"/>
    <m/>
    <m/>
    <m/>
    <m/>
    <x v="0"/>
    <m/>
    <m/>
    <m/>
    <m/>
    <s v="&lt;a href='http://alerjln1.alerj.rj.gov.br/scpro2327.nsf/18c1dd68f96be3e7832566ec0018d833/cc983135fbabd78303258a62005d53be?OpenDocument'&gt; LINK&lt;/a&gt;"/>
  </r>
  <r>
    <x v="0"/>
    <s v="2020"/>
    <s v="21/2020"/>
    <s v="ALTERA A LEI COMPLEMENTAR 184, DE 27 DE DEZEMBRO DE 2018, E DÁOUTRAS PROVIDÊNCIAS"/>
    <s v="ZEIDAN, ANDRÉ"/>
    <x v="6"/>
    <x v="6"/>
    <m/>
    <m/>
    <m/>
    <m/>
    <m/>
    <m/>
    <m/>
    <m/>
    <m/>
    <x v="1"/>
    <s v="Número anotado errado"/>
    <m/>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6"/>
    <x v="6"/>
    <m/>
    <m/>
    <m/>
    <m/>
    <m/>
    <m/>
    <m/>
    <m/>
    <m/>
    <x v="1"/>
    <m/>
    <m/>
    <m/>
    <m/>
    <m/>
  </r>
  <r>
    <x v="0"/>
    <s v="2023"/>
    <s v="1644/2023"/>
    <s v="DISPÕE SOBRE A APLICAÇÃO DAS MULTAS AMBIENTAIS EM PROL DOS MUNICÍPIOS IMPACTADOS POR DANOS AMBIENTAIS, ALTERA A LEI  ESTADUAL Nº 3467, DE 14 DE SETEMBRO DE 2000,  E DÁ OUTRAS PROVIDÊNCIAS"/>
    <s v="JARI OLIVEIRA"/>
    <x v="2"/>
    <x v="6"/>
    <m/>
    <m/>
    <m/>
    <m/>
    <m/>
    <m/>
    <m/>
    <m/>
    <m/>
    <x v="1"/>
    <m/>
    <m/>
    <m/>
    <m/>
    <m/>
  </r>
  <r>
    <x v="0"/>
    <s v="2000"/>
    <s v="1894/2000"/>
    <m/>
    <s v="WALDECK CARNEIRO"/>
    <x v="0"/>
    <x v="6"/>
    <m/>
    <m/>
    <d v="2025-06-12T00:00:00"/>
    <d v="2025-06-12T00:00:00"/>
    <m/>
    <m/>
    <m/>
    <m/>
    <m/>
    <x v="1"/>
    <s v="Número anotado errado"/>
    <m/>
    <m/>
    <m/>
    <m/>
  </r>
  <r>
    <x v="0"/>
    <s v="2023"/>
    <s v="2058/2023"/>
    <s v="ALTERA A LEI Nº 6.787/2014, QUE DISPÕE SOBRE AS CONDIÇÕES SANITÁRIAS PARA OS BANHEIROS PÚBLICOS INSTALADOS NO ÂMBITO DO ESTADO DO RIO DE JANEIRO."/>
    <s v="RENATO MACHADO"/>
    <x v="8"/>
    <x v="6"/>
    <m/>
    <m/>
    <m/>
    <d v="2025-06-12T00:00:00"/>
    <d v="2026-05-25T00:00:00"/>
    <m/>
    <m/>
    <m/>
    <m/>
    <x v="1"/>
    <s v="Fui ao gabinete em 13/04/2026 e anotei esses projeto parados lá_x000a_Retirei do gab. Do relator ANDRÉ CORREA, pois mudou a composição da Com."/>
    <m/>
    <m/>
    <m/>
    <m/>
  </r>
  <r>
    <x v="0"/>
    <s v="2022"/>
    <s v="6432/2022"/>
    <s v="DISPÕE SOBRE O FORNECIMENTO DE LEITE EM PÓ PARA CRIANÇAS NASCIDAS DE MÃES PORTADORAS DE VÍRUS HTLV."/>
    <s v="FRANCIANE MOTTA"/>
    <x v="3"/>
    <x v="6"/>
    <m/>
    <m/>
    <m/>
    <d v="2025-06-12T00:00:00"/>
    <d v="2026-05-25T00:00:00"/>
    <m/>
    <m/>
    <m/>
    <m/>
    <x v="1"/>
    <s v="Fui ao gabinete em 13/04/2026 e anotei esses projeto parados lá_x000a_Retirei do gab. Do relator ANDRÉ CORREA, pois mudou a composição da Com."/>
    <m/>
    <m/>
    <m/>
    <m/>
  </r>
  <r>
    <x v="0"/>
    <s v="2020"/>
    <s v="2470/2020"/>
    <s v="DISPÕE SOBRE A OBRIGATORIEDADE DE LIMITAR O TEMPO DE ESPERA DE ATENDIMENTO NAS UNIDADES DE SAÚDE DA REDE PÚBLICA DO ESTADO DO RIO DE JANEIRO E DÁ OUTRAS PROVIDÊNCIAS"/>
    <s v="DANNIEL LIBRELON"/>
    <x v="8"/>
    <x v="6"/>
    <m/>
    <m/>
    <m/>
    <d v="2025-06-12T00:00:00"/>
    <d v="2026-05-25T00:00:00"/>
    <m/>
    <m/>
    <m/>
    <m/>
    <x v="1"/>
    <m/>
    <m/>
    <m/>
    <m/>
    <m/>
  </r>
  <r>
    <x v="0"/>
    <s v="2024"/>
    <s v="2888/2024"/>
    <s v="INSTITUI, NO ÂMBITO DO ESTADO DO RIO DE JANEIRO, A CAMPANHA ESTADUAL DE SAÚDE BUCAL DA PESSOA IDOSA"/>
    <s v="MARTHA ROCHA"/>
    <x v="5"/>
    <x v="6"/>
    <m/>
    <m/>
    <m/>
    <d v="2025-06-12T00:00:00"/>
    <d v="2026-05-25T00:00:00"/>
    <m/>
    <m/>
    <m/>
    <m/>
    <x v="1"/>
    <s v="Fui ao gabinete em 13/04/2026 e anotei esses projeto parados lá_x000a_Retirei do gab. Do relator ANDRÉ CORREA, pois mudou a composição da Com."/>
    <m/>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3"/>
    <s v="11/02/2026"/>
    <s v="8ªRE _x000a_16/12/2025"/>
    <m/>
    <d v="2025-06-12T00:00:00"/>
    <d v="2025-10-08T00:00:00"/>
    <d v="2026-02-12T00:00:00"/>
    <m/>
    <m/>
    <m/>
    <x v="0"/>
    <m/>
    <m/>
    <m/>
    <m/>
    <s v="http://alerjln1.alerj.rj.gov.br/scpro2327.nsf/18c1dd68f96be3e7832566ec0018d833/ae98a6b0b493100803258ae5006ace70?OpenDocument"/>
  </r>
  <r>
    <x v="0"/>
    <s v="2024"/>
    <s v="3638/2024"/>
    <s v="DISPÕE SOBRE O DIREITO DA CRIANÇA OU ADOLESCENTE À PRESENÇA DOS PAIS OU RESPONSÁVEIS DURANTE A REALIZAÇÃO DE EXAMES OU PROCEDIMENTOS QUE INDUZAM O REBAIXAMENTO DO NÍVEL DE CONSCIÊNCIA E DÁ OUTRAS PROVIDÊNCIAS"/>
    <s v="MARTHA ROCHA"/>
    <x v="3"/>
    <x v="3"/>
    <s v="17/09/2025"/>
    <s v="6ªRE_x000a_02/09/2025"/>
    <d v="2025-09-02T00:00:00"/>
    <d v="2025-06-12T00:00:00"/>
    <d v="2025-08-18T00:00:00"/>
    <m/>
    <m/>
    <m/>
    <m/>
    <x v="0"/>
    <m/>
    <m/>
    <m/>
    <m/>
    <s v="&lt;a href='http://alerjln1.alerj.rj.gov.br/scpro2327.nsf/18c1dd68f96be3e7832566ec0018d833/434b02087baa266703258b2a004c251a?OpenDocument'&gt; LINK&lt;/a&gt;"/>
  </r>
  <r>
    <x v="0"/>
    <s v="2024"/>
    <s v="3978/2024"/>
    <s v="ALTERA A LEI Nº. 2237, DE 17 DE MARÇO DE 1994, QUE ESTABELECE A OBRIGATORIEDADE DO DESENVOLVIMENTO DE PROGRAMAS DE CONTROLE DE INFECÇÃO HOSPITALAR"/>
    <s v="THIAGO RANGEL"/>
    <x v="3"/>
    <x v="3"/>
    <s v="17/09/2025"/>
    <s v="6ªRE_x000a_02/09/2025"/>
    <d v="2025-09-02T00:00:00"/>
    <d v="2025-06-12T00:00:00"/>
    <d v="2025-08-18T00:00:00"/>
    <m/>
    <m/>
    <m/>
    <m/>
    <x v="0"/>
    <m/>
    <m/>
    <m/>
    <m/>
    <s v="&lt;a href='http://alerjln1.alerj.rj.gov.br/scpro2327.nsf/18c1dd68f96be3e7832566ec0018d833/6c671cc69179e98d03258b73004d33c7?OpenDocument'&gt; LINK&lt;/a&gt;"/>
  </r>
  <r>
    <x v="0"/>
    <s v="2023"/>
    <s v="422/2023"/>
    <s v="INSTITUI O PROGRAMA ESTADUAL DE COMBATE AO RACISMO RELIGIOSO"/>
    <s v="PROFESSOR JOSEMAR"/>
    <x v="3"/>
    <x v="3"/>
    <s v="11/02/2026"/>
    <s v="8ªRE _x000a_16/12/2025"/>
    <d v="2025-06-16T00:00:00"/>
    <d v="2025-07-10T00:00:00"/>
    <d v="2025-10-08T00:00:00"/>
    <d v="2026-02-12T00:00:00"/>
    <m/>
    <m/>
    <m/>
    <x v="0"/>
    <m/>
    <m/>
    <m/>
    <m/>
    <m/>
  </r>
  <r>
    <x v="0"/>
    <s v="2023"/>
    <s v="1535/2023"/>
    <s v="CONCEDE AS DOADORAS DE LEITE MATERNO ISENÇÃO DE PAGAMENTO DE TAXA DE INSCRIÇÃO EM CONCURSO PARA PROVIMENTO DE CARGO OU EMPREGO NA ADMINISTRAÇÃO PÚBLICA ESTADUAL."/>
    <s v="BRAZÃO, RODRIGO BACELLAR, E OUTROS"/>
    <x v="6"/>
    <x v="0"/>
    <m/>
    <s v="N/A"/>
    <d v="2025-06-16T00:00:00"/>
    <d v="2025-07-10T00:00:00"/>
    <d v="2025-08-12T00:00:00"/>
    <d v="2025-08-25T00:00:00"/>
    <m/>
    <m/>
    <m/>
    <x v="0"/>
    <s v="Foi retirado em 25.08 pois vai a plenário no dia 26.08._x000a_Parecer do relator foi feito e a deliberação seria dia 02.09 (6ªRE)"/>
    <m/>
    <m/>
    <m/>
    <s v="&lt;a href='http://alerjln1.alerj.rj.gov.br/scpro2327.nsf/18c1dd68f96be3e7832566ec0018d833/e5b4848b6af70c9f032589dd006a4508?OpenDocument'&gt; LINK&lt;/a&gt;"/>
  </r>
  <r>
    <x v="0"/>
    <s v="2023"/>
    <s v="611/2023"/>
    <s v="MODIFICA A LEI ESTADUAL Nº 8667/2019 PARA A CRIAÇÃO DA COMISSÃO DE MEDIAÇÃO DE CONFLITOS – CMC NAS ESCOLAS DA REDE DE ENSINO DO ESTADO DO RIO DE JANEIRO"/>
    <s v="ELIKA TAKIMOTO"/>
    <x v="3"/>
    <x v="8"/>
    <s v="18/09/2025"/>
    <s v="6ªRE_x000a_02/09/2025"/>
    <d v="2025-06-16T00:00:00"/>
    <d v="2025-07-10T00:00:00"/>
    <d v="2025-08-18T00:00:00"/>
    <m/>
    <m/>
    <m/>
    <m/>
    <x v="0"/>
    <m/>
    <m/>
    <m/>
    <m/>
    <s v="&lt;a href='http://alerjln1.alerj.rj.gov.br/scpro2327.nsf/18c1dd68f96be3e7832566ec0018d833/48dbf66ee046f0c403258982005d2fe3?OpenDocument'&gt; LINK&lt;/a&gt;"/>
  </r>
  <r>
    <x v="0"/>
    <s v="2023"/>
    <s v="1315/2023"/>
    <s v="PROÍBE A PARTICIPAÇÃO DE CRIANÇAS E ADOLESCENTES EM EVENTOS VOLTADOS À DEFESA DE PREFERÊNCIAS DE GÊNERO E MOVIMENTOS SOBRE DIVERSIDADE SEXUAL NO ÂMBITO DO ESTADO DO RIO DE JANEIRO E DÁ OUTRAS PROVIDÊNCIAS"/>
    <s v="ÍNDIA ARMELAU"/>
    <x v="6"/>
    <x v="4"/>
    <s v="22/09/2025"/>
    <s v="6ªRE_x000a_02/09/2025"/>
    <d v="2025-06-17T00:00:00"/>
    <d v="2025-07-10T00:00:00"/>
    <d v="2025-08-12T00:00:00"/>
    <m/>
    <m/>
    <m/>
    <m/>
    <x v="0"/>
    <m/>
    <m/>
    <m/>
    <m/>
    <s v="&lt;a href='http://alerjln1.alerj.rj.gov.br/scpro2327.nsf/18c1dd68f96be3e7832566ec0018d833/486e380d4ee4bbcb032589ce004d1188?OpenDocument'&gt; LINK&lt;/a&gt;"/>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6"/>
    <m/>
    <m/>
    <d v="2025-06-23T00:00:00"/>
    <d v="2025-07-10T00:00:00"/>
    <m/>
    <m/>
    <m/>
    <m/>
    <m/>
    <x v="1"/>
    <m/>
    <m/>
    <m/>
    <m/>
    <m/>
  </r>
  <r>
    <x v="0"/>
    <s v="2022"/>
    <s v="6138/2022"/>
    <s v="INSTITUI A CAMPANHA DE INCENTIVO À EMISSÃO DA CARTEIRA DE IDENTIFICAÇÃO CIVIL DE CRIANÇAS (OU NA PRIMEIRA INFÂNCIA), NA FORMA QUE MENCIONA"/>
    <s v="TIA JU"/>
    <x v="3"/>
    <x v="6"/>
    <m/>
    <m/>
    <d v="2025-06-23T00:00:00"/>
    <d v="2025-07-10T00:00:00"/>
    <m/>
    <m/>
    <m/>
    <m/>
    <m/>
    <x v="1"/>
    <m/>
    <m/>
    <m/>
    <m/>
    <m/>
  </r>
  <r>
    <x v="0"/>
    <s v="2023"/>
    <s v="1728/2023"/>
    <s v="DISPÕE SOBRE O PRÉ-NATAL MASCULINO NO ESTADO DO RIO DE JANEIRO E DÁ OUTRAS PROVIDÊNCIAS"/>
    <s v="YURI"/>
    <x v="6"/>
    <x v="9"/>
    <s v="19/09/2025"/>
    <s v="6ªRE_x000a_02/09/2025"/>
    <d v="2025-06-23T00:00:00"/>
    <d v="2025-07-10T00:00:00"/>
    <d v="2025-08-12T00:00:00"/>
    <m/>
    <m/>
    <m/>
    <m/>
    <x v="0"/>
    <m/>
    <m/>
    <m/>
    <m/>
    <s v="http://alerjln1.alerj.rj.gov.br/scpro2327.nsf/18c1dd68f96be3e7832566ec0018d833/f9d4e30cdd0d639803258a08007a72e8?OpenDocument"/>
  </r>
  <r>
    <x v="0"/>
    <s v="2021"/>
    <s v="4061/2021"/>
    <s v="DISPÕE SOBRE O COMPARTILHAMENTO DE INFORMAÇÕES DE IDENTIFICAÇÃO CIVIL ENTRE OS ÓRGÃOS DA ADMINISTRAÇÃO DIRETA E INDIRETA DO ESTADO DO RIO DE JANEIRO E SEUS MUNICÍPIOS"/>
    <s v="ÁTILA NUNES"/>
    <x v="1"/>
    <x v="10"/>
    <s v="18/09/2025"/>
    <s v="6ªRE_x000a_02/09/2025"/>
    <d v="2025-09-02T00:00:00"/>
    <m/>
    <d v="2025-06-26T00:00:00"/>
    <m/>
    <m/>
    <m/>
    <m/>
    <x v="0"/>
    <m/>
    <m/>
    <m/>
    <m/>
    <s v="&lt;a href='http://alerjln1.alerj.rj.gov.br/scpro1923.nsf/18c1dd68f96be3e7832566ec0018d833/40f0df3251492f26032586c40049c0c6?OpenDocument'&gt; LINK&lt;/a&gt;"/>
  </r>
  <r>
    <x v="0"/>
    <s v="2019"/>
    <s v="EP 877/2019"/>
    <s v="DISPÕE SOBRE A OBRIGATORIEDADE DOS PROFISSIONAIS E FUNCIONÁRIOS QUE TRABALHAM NA ÁREA DA SAÚDE, APRESENTAR PERIODICAMENTE COMPROVANTE DE VACINAÇÃO E MANTER SEU CARTÃO DE VACINAS ATUALIZADO, NO ÂMBITO DO ESTADO DO RIO DE JANEIRO."/>
    <s v="MARINA ROCHA"/>
    <x v="1"/>
    <x v="2"/>
    <s v="18/09/2025"/>
    <s v="6ªRE_x000a_02/09/2025"/>
    <m/>
    <m/>
    <d v="2025-06-26T00:00:00"/>
    <m/>
    <m/>
    <m/>
    <m/>
    <x v="0"/>
    <m/>
    <m/>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2"/>
    <s v="18/09/2025"/>
    <s v="6ªRE_x000a_02/09/2025"/>
    <d v="2025-09-02T00:00:00"/>
    <m/>
    <d v="2025-06-26T00:00:00"/>
    <m/>
    <m/>
    <m/>
    <m/>
    <x v="0"/>
    <m/>
    <m/>
    <m/>
    <m/>
    <s v="&lt;a href='http://alerjln1.alerj.rj.gov.br/scpro2327.nsf/18c1dd68f96be3e7832566ec0018d833/46fd05aaf5c44dec0325894f0050ea91?OpenDocument'&gt; LINK&lt;/a&gt;"/>
  </r>
  <r>
    <x v="0"/>
    <s v="2020"/>
    <s v="3448/2020"/>
    <s v="ESTABELECE PROCEDIMENTO PARA CONCESSÃO IMEDIATA DO BENEFÍCIO DE PENSÃO POR MORTE DE AGENTE DE SEGURANÇA PÚBLICA, NA FORMA QUE MENCIONA"/>
    <s v="ANDERSON MORAES, Filipe Soares"/>
    <x v="1"/>
    <x v="0"/>
    <m/>
    <s v="N/A"/>
    <m/>
    <m/>
    <d v="2025-06-26T00:00:00"/>
    <m/>
    <m/>
    <m/>
    <m/>
    <x v="0"/>
    <s v="Ofício nº128/2025/GDVC remetendo à MD por se tratar de TIL"/>
    <m/>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6"/>
    <x v="3"/>
    <s v="11/02/2026"/>
    <s v="8ªRE _x000a_16/12/2025"/>
    <m/>
    <m/>
    <m/>
    <d v="2026-02-12T00:00:00"/>
    <m/>
    <m/>
    <m/>
    <x v="0"/>
    <s v="Teve pedido de vista pelo dep. VINICIUS COZZOLINO em 2024 e foi parar no gab. do LP. Foi devolvido a comissao em 10-07-2025_x000a__x000a_Levei ao gab. Do Dep. Cozzolino para avaliar essa vista, em 18/08/2025"/>
    <m/>
    <m/>
    <m/>
    <s v="http://alerjln1.alerj.rj.gov.br/scpro1519.nsf/18c1dd68f96be3e7832566ec0018d833/c476e6ae08b94c6d832582660056ae2f?OpenDocument"/>
  </r>
  <r>
    <x v="0"/>
    <s v="2023"/>
    <s v="1725/2023"/>
    <s v="AUTORIZA O PODER EXECUTIVO A AUMENTAR O NÚMERO DE VAGAS DISPONIBILIZADAS NO CONCURSO QOA/2023 DA POLÍCIA MILITAR DO ESTADO DO RIO DE JANEIRO, NA FORMA EM QUE MENCIONA"/>
    <s v="ROSENVERG REIS"/>
    <x v="9"/>
    <x v="0"/>
    <m/>
    <d v="2025-12-16T00:00:00"/>
    <m/>
    <m/>
    <m/>
    <m/>
    <m/>
    <m/>
    <m/>
    <x v="1"/>
    <s v="Tem parecer de 2024 porém estava redistribuido e como é TIL, deve ser encaminhado para a MD"/>
    <m/>
    <m/>
    <m/>
    <m/>
  </r>
  <r>
    <x v="0"/>
    <s v="2024"/>
    <s v="3948/2024"/>
    <s v="INSTITUI A CAMPANHA DE CONSCIENTIZAÇÃO SOBRE ALERGIA ALIMENTAR EM ANIMAIS DOMÉSTICOS E DÁ OUTRAS PROVIDÊNCIAS."/>
    <s v="FRED PACHECO"/>
    <x v="8"/>
    <x v="3"/>
    <s v="18/09/2025"/>
    <s v="6ªRE_x000a_02/09/2025"/>
    <d v="2025-09-17T00:00:00"/>
    <m/>
    <d v="2025-07-10T00:00:00"/>
    <m/>
    <m/>
    <m/>
    <m/>
    <x v="0"/>
    <m/>
    <m/>
    <m/>
    <m/>
    <s v="http://alerjln1.alerj.rj.gov.br/scpro2327.nsf/18c1dd68f96be3e7832566ec0018d833/63ed605fe1a93f5703258b7200511a54?OpenDocument"/>
  </r>
  <r>
    <x v="0"/>
    <s v="2023"/>
    <s v="EP 417/2023"/>
    <s v="AUTORIZA A COLOCAÇÃO DE TORNEIRAS DE ÁGUA POTÁVEL, EM AMBIENTES PÚBLICOS, DESTINADAS A ANIMAIS."/>
    <s v="JORGE FELIPPE NETO"/>
    <x v="8"/>
    <x v="11"/>
    <s v="23/09/2025"/>
    <s v="6ªRE_x000a_02/09/2025"/>
    <m/>
    <m/>
    <d v="2025-07-10T00:00:00"/>
    <m/>
    <m/>
    <m/>
    <m/>
    <x v="0"/>
    <m/>
    <m/>
    <m/>
    <m/>
    <s v="http://alerjln1.alerj.rj.gov.br/scpro2327.nsf/18c1dd68f96be3e7832566ec0018d833/0a2a9d9661b6c9c10325897100682b9e?OpenDocument"/>
  </r>
  <r>
    <x v="0"/>
    <s v="2023"/>
    <s v="EP 229/2023"/>
    <s v="DISPÕE SOBRE A FORMULAÇÃO E IMPLEMENTAÇÃO DE PROGRAMAS E POLÍTICAS PÚBLICAS DESTINADAS ÀS CAMPANHAS PERMANENTES DE PREVENÇÃO, DIAGNÓSTICO E TRATAMENTO DA MOLÉSTIA TOXOPLASMOSE, NO ÂMBITO DO ESTADO DO RIO DE JANEIRO"/>
    <s v="BERNARDO ROSSI"/>
    <x v="8"/>
    <x v="9"/>
    <s v="23/09/2025"/>
    <s v="6ªRE_x000a_02/09/2025"/>
    <d v="2025-09-22T00:00:00"/>
    <m/>
    <d v="2025-07-10T00:00:00"/>
    <m/>
    <m/>
    <m/>
    <m/>
    <x v="0"/>
    <m/>
    <m/>
    <m/>
    <m/>
    <s v="http://alerjln1.alerj.rj.gov.br/scpro2327.nsf/18c1dd68f96be3e7832566ec0018d833/cb214d17cf3dd4b0032589560079eff2?OpenDocument"/>
  </r>
  <r>
    <x v="0"/>
    <s v="2023"/>
    <s v="1194/2023"/>
    <s v="INSTITUI O PROGRAMA DE PREVENÇÃO E CONTROLE DO DIABETES NAS ESCOLAS PÚBLICAS E PRIVADAS DO ESTADO DO RIO DE JANEIRO E DÁ OUTRAS PROVIDÊNCIAS"/>
    <s v="ELIKA TAKIMOTO, MÁRCIO CANELLA, Tande Vieira"/>
    <x v="8"/>
    <x v="2"/>
    <s v="23/09/2025"/>
    <s v="6ªRE_x000a_02/09/2025"/>
    <m/>
    <m/>
    <d v="2025-07-10T00:00:00"/>
    <m/>
    <m/>
    <m/>
    <m/>
    <x v="0"/>
    <s v="1276/2023 apenso"/>
    <m/>
    <m/>
    <m/>
    <s v="http://alerjln1.alerj.rj.gov.br/scpro2327.nsf/18c1dd68f96be3e7832566ec0018d833/0722777cb7a9a3e5032589bf0064572c?OpenDocument"/>
  </r>
  <r>
    <x v="0"/>
    <s v="2024"/>
    <s v="4132/2024"/>
    <s v="CRIA O PROGRAMA “LAÇO AMARELO” PARA CÃES QUE “PRECISAM DE ESPAÇO”. "/>
    <s v="RODRIGO AMORIM"/>
    <x v="8"/>
    <x v="2"/>
    <s v="11/02/2026"/>
    <s v="8ªRE _x000a_16/12/2025"/>
    <d v="2025-09-02T00:00:00"/>
    <m/>
    <d v="2025-07-10T00:00:00"/>
    <d v="2026-03-18T00:00:00"/>
    <s v="CÉLIA JORDÃO"/>
    <s v="FAVORÁVEL, COM EMENDA"/>
    <d v="2025-10-23T00:00:00"/>
    <x v="0"/>
    <s v="VISTA DE CÉLIA JORDÃO EM 02-SET_x000a_DEP. CELIA RETIROU AS EMENDAS"/>
    <m/>
    <m/>
    <m/>
    <s v="http://alerjln1.alerj.rj.gov.br/scpro2327.nsf/18c1dd68f96be3e7832566ec0018d833/076bd18d08c41b1b03258b940063c37b?OpenDocument"/>
  </r>
  <r>
    <x v="0"/>
    <s v="2019"/>
    <s v="EP 815/2019"/>
    <s v="INSTITUI A OBRIGATORIEDADE DOS VEÍCULOS DE TRANSPORTE ESCOLAR EXIBIREM UM NÚMERO DE TELEFONE PARA RECLAMAÇÕES PINTADO EM SUAS CARROCERIAS, E DÁ OUTRAS PROVIDÊNCIAS."/>
    <s v="DANNIEL LIBRELON"/>
    <x v="8"/>
    <x v="12"/>
    <m/>
    <s v="6ªRE_x000a_02/09/2025"/>
    <m/>
    <m/>
    <d v="2025-07-10T00:00:00"/>
    <m/>
    <m/>
    <m/>
    <m/>
    <x v="1"/>
    <m/>
    <m/>
    <m/>
    <m/>
    <s v="http://alerjln1.alerj.rj.gov.br/scpro1923.nsf/18c1dd68f96be3e7832566ec0018d833/43e705d42179521483258425005e50e9?OpenDocument"/>
  </r>
  <r>
    <x v="0"/>
    <s v="2016"/>
    <s v="1500/2016"/>
    <s v="DISPÕE SOBRE A UTILIZAÇÃO DE EQUIPAMENTO MOTOGERADORES E DÁ OUTRAS PROVIDÊNCIAS."/>
    <s v="CARLOS MINC"/>
    <x v="8"/>
    <x v="2"/>
    <s v="23/09/2025"/>
    <s v="6ªRE_x000a_02/09/2025"/>
    <m/>
    <m/>
    <d v="2025-07-10T00:00:00"/>
    <m/>
    <m/>
    <m/>
    <m/>
    <x v="0"/>
    <m/>
    <m/>
    <m/>
    <m/>
    <s v="http://alerjln1.alerj.rj.gov.br/scpro1519.nsf/18c1dd68f96be3e7832566ec0018d833/02b4efe7be2e01e983257f6f006aee6b?OpenDocument"/>
  </r>
  <r>
    <x v="0"/>
    <s v="2020"/>
    <s v="EP 3216/2020"/>
    <s v="DISPÕE SOBRE A INCLUSÃO DA DOSAGEM DE VITAMINA D NO ROL DOS EXAMES DE ROTINA, BEM COMO A RESPECTIVA DISPENSAÇÃO DO MEDICAMENTO NAS UNIDADES DE SAÚDE PÚBLICA DO ESTADO DO RIO DE JANEIRO"/>
    <s v="DR DEODALTO"/>
    <x v="8"/>
    <x v="13"/>
    <s v="23/09/2025"/>
    <s v="6ªRE_x000a_02/09/2025"/>
    <m/>
    <m/>
    <d v="2025-07-10T00:00:00"/>
    <m/>
    <m/>
    <m/>
    <m/>
    <x v="0"/>
    <m/>
    <m/>
    <m/>
    <m/>
    <s v="http://alerjln1.alerj.rj.gov.br/scpro1923.nsf/18c1dd68f96be3e7832566ec0018d833/c03e703429b4a87003258600006157c4?OpenDocument"/>
  </r>
  <r>
    <x v="0"/>
    <s v="2021"/>
    <s v="4277/2021"/>
    <s v="INSTITUI A CAMPANHA PERMANENTE DE ORIENTAÇÃO, CONSCIENTIZAÇÃO E PREVENÇÃO À ESPOROTRICOSE, NAS UNIDADES DE SAÚDE SITUADAS NO ESTADO."/>
    <s v="DANNIEL LIBRELON"/>
    <x v="8"/>
    <x v="2"/>
    <s v="23/09/2025"/>
    <s v="6ªRE_x000a_02/09/2025"/>
    <m/>
    <m/>
    <d v="2025-07-10T00:00:00"/>
    <m/>
    <m/>
    <m/>
    <m/>
    <x v="0"/>
    <m/>
    <m/>
    <m/>
    <m/>
    <s v="http://alerjln1.alerj.rj.gov.br/scpro1923.nsf/18c1dd68f96be3e7832566ec0018d833/4338132885c9494f032586e7004b511c?OpenDocument"/>
  </r>
  <r>
    <x v="1"/>
    <s v="2020"/>
    <s v="32/2020"/>
    <s v="DISPÕE SOBRE A TRANSAÇÃO NAS HIPÓTESES QUE ESPECIFICA."/>
    <s v="ROSENVERG REIS, Celia Jordão"/>
    <x v="0"/>
    <x v="14"/>
    <s v="17/09/2025"/>
    <s v="6ªRE_x000a_02/09/2025"/>
    <d v="2025-08-04T00:00:00"/>
    <d v="2025-08-05T00:00:00"/>
    <m/>
    <m/>
    <m/>
    <m/>
    <m/>
    <x v="0"/>
    <m/>
    <m/>
    <m/>
    <m/>
    <s v="&lt;a href='http://alerjln1.alerj.rj.gov.br/scpro1923.nsf/34c4e2da9b17c0d3832566ec0018d830/5935f34dadef05a80325863f005976af?OpenDocument'&gt; LINK&lt;/a&gt;"/>
  </r>
  <r>
    <x v="0"/>
    <s v="2012"/>
    <s v="(EP) 1840/2012"/>
    <s v="DISPÕE SOBRE O SERVIÇO DE TÁXI INTERMUNICIPAL NO ÂMBITO DO ESTADO DO RIO DE JANEIRO E DÁ OUTRAS PROVIDÊNCIAS."/>
    <s v="PAULO RAMOS"/>
    <x v="2"/>
    <x v="15"/>
    <s v="19/09/2025"/>
    <s v="6ªRE_x000a_02/09/2025"/>
    <d v="2025-08-04T00:00:00"/>
    <d v="2025-08-05T00:00:00"/>
    <d v="2025-08-21T00:00:00"/>
    <m/>
    <m/>
    <m/>
    <m/>
    <x v="0"/>
    <m/>
    <m/>
    <m/>
    <m/>
    <m/>
  </r>
  <r>
    <x v="0"/>
    <s v="2016"/>
    <s v="1620/2016"/>
    <s v="ACRESCENTA O INCISO VII-A AO ART. 14, DA LEI Nº 2.657, DE 26 DE DEZEMBRO DE 1996, E DÁ OUTRAS PROVIDÊNCIAS."/>
    <s v="MARTHA ROCHA"/>
    <x v="2"/>
    <x v="3"/>
    <s v="20/02/2026"/>
    <s v="8ªRE _x000a_16/12/2025"/>
    <d v="2025-08-04T00:00:00"/>
    <d v="2025-08-05T00:00:00"/>
    <d v="2025-11-17T00:00:00"/>
    <d v="2026-02-23T00:00:00"/>
    <m/>
    <m/>
    <m/>
    <x v="0"/>
    <m/>
    <m/>
    <m/>
    <m/>
    <m/>
  </r>
  <r>
    <x v="0"/>
    <s v="2017"/>
    <s v="EP 2765/2017"/>
    <s v="ALTERA A LEI Nº 3.433, DE 30 DE JUNHO DE 2000, PARA CRIAR DIRETRIZES PARA O PROGRAMA ESTADUAL DE PREVENÇÃO E TRATAMENTO DA OBESIDADE E DOENÇAS CORRELATAS, NA FORMA QUE MENCIONA."/>
    <s v="ÁTILA NUNES"/>
    <x v="2"/>
    <x v="16"/>
    <s v="19/09/2025"/>
    <s v="6ªRE_x000a_02/09/2025"/>
    <d v="2025-08-04T00:00:00"/>
    <d v="2025-08-05T00:00:00"/>
    <d v="2025-08-21T00:00:00"/>
    <m/>
    <m/>
    <m/>
    <m/>
    <x v="0"/>
    <m/>
    <m/>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2"/>
    <s v="20/02/2026"/>
    <s v="8ªRE _x000a_16/12/2025"/>
    <d v="2025-08-04T00:00:00"/>
    <d v="2025-08-05T00:00:00"/>
    <d v="2025-11-17T00:00:00"/>
    <d v="2026-02-23T00:00:00"/>
    <m/>
    <m/>
    <m/>
    <x v="0"/>
    <m/>
    <m/>
    <m/>
    <m/>
    <m/>
  </r>
  <r>
    <x v="0"/>
    <s v="2021"/>
    <s v="4392/2021"/>
    <s v="ALTERA A LEI Nº 2.877, DE 22 DE DEZEMBRO DE 1997, QUE DISPÕE SOBRE O IMPOSTO SOBRE A PROPRIEDADE DE VEÍCULOS AUTOMOTORES (IPVA), NA FORMA QUE MENCIONA."/>
    <s v="ANDERSON MORAES"/>
    <x v="4"/>
    <x v="6"/>
    <m/>
    <m/>
    <d v="2025-08-04T00:00:00"/>
    <d v="2025-08-27T00:00:00"/>
    <m/>
    <m/>
    <m/>
    <m/>
    <m/>
    <x v="1"/>
    <s v="Anexar o PL 6416/2022 a este_x000a_Estava com LUIZ PAULO mas peguei porque o mesmo saiu da Comissão (18/05/2026)"/>
    <m/>
    <m/>
    <m/>
    <s v="http://alerjln1.alerj.rj.gov.br/scpro1923.nsf/18c1dd68f96be3e7832566ec0018d833/657d52b5dd5319fb032586f800617df9?OpenDocument"/>
  </r>
  <r>
    <x v="0"/>
    <s v="2023"/>
    <s v="549/2023"/>
    <s v="CRIA O PROGRAMA “GESTÃO COMUNITÁRIA DAS ESCOLAS” NA REDE ESTADUAL DE ENSINO DO RIO DE JANEIRO."/>
    <s v="RODRIGO AMORIM"/>
    <x v="0"/>
    <x v="17"/>
    <s v="11/02/2026"/>
    <s v="8ªRE _x000a_16/12/2025"/>
    <d v="2025-08-04T00:00:00"/>
    <d v="2025-08-05T00:00:00"/>
    <d v="2025-08-21T00:00:00"/>
    <d v="2026-03-05T00:00:00"/>
    <s v="CÉLIA JORDÃO"/>
    <s v="FAVORÁVEL, COM EMENDA"/>
    <d v="2025-10-23T00:00:00"/>
    <x v="0"/>
    <s v="VISTA DE CÉLIA JORDÃO EM 02-SET_x000a_DEP. ANDRÉ AVOCOU A RELATORIA DO DEP. RENATO MIRANDA E ACOLHEU A EMENDA"/>
    <m/>
    <m/>
    <m/>
    <s v="&lt;a href='http://alerjln1.alerj.rj.gov.br/scpro2327.nsf/18c1dd68f96be3e7832566ec0018d833/e0579e4272f7582703258980004d1142?OpenDocument'&gt; LINK&lt;/a&gt;"/>
  </r>
  <r>
    <x v="0"/>
    <s v="2023"/>
    <s v="932/2023"/>
    <s v="DISPÕE SOBRE A GRATUIDADE DE TAXA PARA OBTENÇÃO DO DOCUMENTO DE IDENTIFICAÇÃO PESSOAL, BEM COMO QUANTO A TAXA DE RENOVAÇÃO DA CARTEIRA DE HABILITAÇÃO, NA FORMA EM QUE MENCIONA."/>
    <s v="ROSENVERG REIS"/>
    <x v="2"/>
    <x v="4"/>
    <s v="20/02/2026"/>
    <s v="8ªRE _x000a_16/12/2025"/>
    <d v="2025-08-04T00:00:00"/>
    <d v="2025-08-27T00:00:00"/>
    <d v="2025-11-17T00:00:00"/>
    <d v="2026-02-23T00:00:00"/>
    <m/>
    <m/>
    <m/>
    <x v="0"/>
    <m/>
    <m/>
    <m/>
    <m/>
    <s v="&lt;a href='http://alerjln1.alerj.rj.gov.br/scpro2327.nsf/18c1dd68f96be3e7832566ec0018d833/14af067763c10685032589a40063cd23?OpenDocument'&gt; LINK&lt;/a&gt;"/>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4"/>
    <s v="20/02/2026"/>
    <s v="8ªRE _x000a_16/12/2025"/>
    <d v="2025-08-04T00:00:00"/>
    <d v="2025-08-05T00:00:00"/>
    <d v="2025-11-17T00:00:00"/>
    <d v="2026-02-23T00:00:00"/>
    <m/>
    <m/>
    <m/>
    <x v="0"/>
    <m/>
    <m/>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3"/>
    <x v="6"/>
    <m/>
    <m/>
    <d v="2025-08-04T00:00:00"/>
    <d v="2025-08-27T00:00:00"/>
    <m/>
    <m/>
    <m/>
    <m/>
    <m/>
    <x v="3"/>
    <m/>
    <m/>
    <m/>
    <m/>
    <m/>
  </r>
  <r>
    <x v="0"/>
    <s v="2024"/>
    <s v="3520/2024"/>
    <s v="ESTABELECE DIRETRIZES SOBRE O DIREITO À ALIMENTAÇÃO ADEQUADA DOS USUÁRIOS DA REDE PÚBLICA DE SAÚDE QUE NECESSITAM DE NUTRIÇÃO ENTERAL (NE)."/>
    <s v="MUNIR NETO"/>
    <x v="2"/>
    <x v="18"/>
    <s v="19/09/2025"/>
    <s v="6ªRE_x000a_02/09/2025"/>
    <d v="2025-08-04T00:00:00"/>
    <d v="2025-08-05T00:00:00"/>
    <d v="2025-08-21T00:00:00"/>
    <m/>
    <m/>
    <m/>
    <m/>
    <x v="0"/>
    <m/>
    <m/>
    <m/>
    <m/>
    <m/>
  </r>
  <r>
    <x v="0"/>
    <s v="2023"/>
    <s v="190/2023"/>
    <s v="ALTERA-SE A LEI Nº 4.962 DE 20 DE DEZEMBRO DE 2006 E DÁ OUTRAS PROVIDÊNCIAS"/>
    <s v="MARINA DO MST"/>
    <x v="4"/>
    <x v="6"/>
    <m/>
    <m/>
    <d v="2026-05-12T00:00:00"/>
    <m/>
    <m/>
    <d v="2025-08-04T00:00:00"/>
    <m/>
    <m/>
    <m/>
    <x v="0"/>
    <s v="Pelo art 26, alínea (i), item 2, do RI, o projeto teve parecer, da CCJ, pela TIL. Logo deve ser encaminhado direto à SGMD."/>
    <m/>
    <m/>
    <m/>
    <s v="http://alerjln1.alerj.rj.gov.br/scpro2327.nsf/18c1dd68f96be3e7832566ec0018d833/ac723f11cd2490ba0325895100543330?OpenDocument"/>
  </r>
  <r>
    <x v="0"/>
    <s v="2017"/>
    <s v="EP 3526/2017"/>
    <s v="DISPÕE SOBRE O TOMBAMENTO POR INTERESSE HISTÓRICO E CULTURAL DO ESTADO DO RIO DE JANEIRO DOS QUILOMBOS CAMBUCÁ, ALELUIA E BATATAL, LOCALIZADO NO NOVO HORIZONTE, S/Nº, CAMPOS DOS GOYTACAZES, RJ – CEP: 28.125-000, E DÁ OUTRAS PROVIDÊNCIAS."/>
    <s v="ZEIDAN"/>
    <x v="1"/>
    <x v="19"/>
    <s v="18/09/2025"/>
    <s v="6ªRE_x000a_02/09/2025"/>
    <m/>
    <m/>
    <d v="2025-08-05T00:00:00"/>
    <m/>
    <m/>
    <m/>
    <m/>
    <x v="0"/>
    <s v="Enviado o parecer por email em 04-08-2025"/>
    <m/>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2"/>
    <m/>
    <s v="N/A"/>
    <m/>
    <m/>
    <d v="2025-08-05T00:00:00"/>
    <d v="2025-09-01T00:00:00"/>
    <m/>
    <m/>
    <m/>
    <x v="0"/>
    <s v="Enviado o parecer por email em 04-08-2025_x000a_Retirado da pauta da 6ªRE (02-set-2025) porque vai a plenário em 03-09"/>
    <m/>
    <m/>
    <m/>
    <m/>
  </r>
  <r>
    <x v="0"/>
    <s v="2023"/>
    <s v="1750/2023"/>
    <s v="DISPÕE SOBRE A CRIAÇÃO DO PROGRAMA “COZINHA EXPERIMENTAL MINI CHEFS” NAS ESCOLAS ESTADUAIS NO ÂMBITO DO ESTADO DO RIO DE JANEIRO"/>
    <s v="MUNIR NETO"/>
    <x v="1"/>
    <x v="20"/>
    <s v="11/02/2026"/>
    <s v="8ªRE _x000a_16/12/2025"/>
    <d v="2025-09-02T00:00:00"/>
    <m/>
    <d v="2025-08-05T00:00:00"/>
    <d v="2026-02-12T00:00:00"/>
    <s v="CÉLIA JORDÃO"/>
    <m/>
    <d v="2025-10-23T00:00:00"/>
    <x v="0"/>
    <s v="Enviado o parecer por email em 04-08-2025_x000a_VISTA DE CÉLIA JORDÃO EM 02-SET"/>
    <m/>
    <m/>
    <m/>
    <s v="&lt;a href='http://alerjln1.alerj.rj.gov.br/scpro2327.nsf/18c1dd68f96be3e7832566ec0018d833/fe5ec33176e07572032589e3004eea24?OpenDocument'&gt; LINK&lt;/a&gt;"/>
  </r>
  <r>
    <x v="0"/>
    <s v="2019"/>
    <s v="637/2019"/>
    <s v="OBRIGA CRECHES E INSTITUIÇÕES DE ENSINO BÁSICO A INFORMAR AOS RESPONSÁVEIS E  NOTIFICAR O ÓRGÃO PÚBLICO COMPETENTE, A OCORRÊNCIA DE CASO DE DOENÇA CONTAGIOSA OU INFECTOCONTAGIOSA NO LOCAL."/>
    <s v="BRUNO DAUAIRE"/>
    <x v="1"/>
    <x v="21"/>
    <s v="18/09/2025"/>
    <s v="6ªRE_x000a_02/09/2025"/>
    <d v="2025-09-02T00:00:00"/>
    <m/>
    <d v="2025-08-05T00:00:00"/>
    <m/>
    <m/>
    <m/>
    <m/>
    <x v="0"/>
    <s v="Enviado o parecer por email em 04-08-2025"/>
    <m/>
    <m/>
    <m/>
    <s v="&lt;a href='http://alerjln1.alerj.rj.gov.br/scpro1923.nsf/18c1dd68f96be3e7832566ec0018d833/a46c5f87267f744b83258408005f1047?OpenDocument'&gt; LINK&lt;/a&gt;"/>
  </r>
  <r>
    <x v="0"/>
    <s v="2023"/>
    <s v="EP 63/2023"/>
    <s v="CRIA A LEI DE INCENTIVO AO DESENVOLVIMENTO DO MOVIMENTO CULTURAL HIP HOP CARIOCA E DÁ OUTRAS PROVIDÊNCIAS."/>
    <s v="VERONICA LIMA"/>
    <x v="1"/>
    <x v="22"/>
    <s v="17/09/2025"/>
    <s v="6ªRE_x000a_02/09/2025"/>
    <m/>
    <m/>
    <d v="2025-08-05T00:00:00"/>
    <m/>
    <m/>
    <m/>
    <m/>
    <x v="0"/>
    <s v="Enviado o parecer por email em 04-08-2025"/>
    <m/>
    <m/>
    <m/>
    <m/>
  </r>
  <r>
    <x v="0"/>
    <s v="2019"/>
    <s v="EP 1278/2019"/>
    <s v="DISPÕE SOBRE O PROGRAMA DE INCENTIVO TECNOLÓGICO À TERCEIRA IDADE, E DÁ OUTRAS PROVIDÊNCIAS."/>
    <s v="RODRIGO BACELLAR"/>
    <x v="1"/>
    <x v="23"/>
    <s v="17/09/2025"/>
    <s v="6ªRE_x000a_02/09/2025"/>
    <m/>
    <m/>
    <d v="2025-08-05T00:00:00"/>
    <m/>
    <m/>
    <m/>
    <m/>
    <x v="0"/>
    <s v="Enviado o parecer por email em 04-08-2025"/>
    <m/>
    <m/>
    <m/>
    <m/>
  </r>
  <r>
    <x v="0"/>
    <s v="2021"/>
    <s v="4455/2021"/>
    <s v="INSTITUI O PROGRAMA DE PRÁTICA DE ATIVIDADES FÍSICAS E DESPORTIVAS POR POLICIAIS CIVIS E MILITARES E DETERMINA A SUA INCORPORAÇÃO NAS ROTINAS DESSAS CORPORAÇÕES, DE FORMA FACULTATIVA A CADA POLICIAL."/>
    <s v="DANNIEL LIBRELON"/>
    <x v="8"/>
    <x v="2"/>
    <s v="11/02/2026"/>
    <s v="8ªRE _x000a_16/12/2025"/>
    <d v="2025-08-06T00:00:00"/>
    <d v="2025-08-06T00:00:00"/>
    <d v="2025-10-13T00:00:00"/>
    <d v="2026-02-12T00:00:00"/>
    <m/>
    <m/>
    <m/>
    <x v="0"/>
    <m/>
    <m/>
    <m/>
    <m/>
    <s v="http://alerjln1.alerj.rj.gov.br/scpro1923.nsf/18c1dd68f96be3e7832566ec0018d833/4db337b98dc253fa03258704005b335d?OpenDocument"/>
  </r>
  <r>
    <x v="0"/>
    <s v="2023"/>
    <s v="1819/2023"/>
    <s v="DISPÕE SOBRE A CRIAÇÃO DA PLATAFORMA “EMPREGA APROV” NO  ÂMBITO DO ESTADO DO RIO DE JANEIRO NA FORMA QUE MENCIONA."/>
    <s v="FILIPE SOARES"/>
    <x v="8"/>
    <x v="2"/>
    <m/>
    <s v="PRÓXIMA"/>
    <d v="2025-08-06T00:00:00"/>
    <d v="2025-08-06T00:00:00"/>
    <d v="2026-02-26T00:00:00"/>
    <m/>
    <m/>
    <m/>
    <m/>
    <x v="1"/>
    <m/>
    <m/>
    <m/>
    <m/>
    <s v="http://alerjln1.alerj.rj.gov.br/scpro2327.nsf/18c1dd68f96be3e7832566ec0018d833/b3321d50849657e203258a1300618881?OpenDocument"/>
  </r>
  <r>
    <x v="0"/>
    <s v="2024"/>
    <s v="4594/2024"/>
    <s v="REGULAMENTA O USO DO BRACELETE AZUL PARA PESSOAS DIABÉTICAS NO ESTADO DO RIO DE JANEIRO."/>
    <s v="ANDREZINHO CECILIANO"/>
    <x v="8"/>
    <x v="3"/>
    <s v="11/02/2026"/>
    <s v="8ªRE _x000a_16/12/2025"/>
    <d v="2025-08-05T00:00:00"/>
    <d v="2025-08-06T00:00:00"/>
    <d v="2025-10-13T00:00:00"/>
    <d v="2026-03-05T00:00:00"/>
    <m/>
    <m/>
    <m/>
    <x v="0"/>
    <m/>
    <m/>
    <m/>
    <m/>
    <s v="http://alerjln1.alerj.rj.gov.br/scpro2327.nsf/18c1dd68f96be3e7832566ec0018d833/2df4cee1d576b4d403258be3005ef65c?OpenDocument"/>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24"/>
    <s v="11/02/2026"/>
    <s v="8ªRE _x000a_16/12/2025"/>
    <d v="2025-08-05T00:00:00"/>
    <d v="2025-08-06T00:00:00"/>
    <d v="2025-10-13T00:00:00"/>
    <d v="2026-02-12T00:00:00"/>
    <m/>
    <m/>
    <m/>
    <x v="0"/>
    <m/>
    <m/>
    <m/>
    <m/>
    <s v="http://alerjln1.alerj.rj.gov.br/scpro2327.nsf/18c1dd68f96be3e7832566ec0018d833/818e202fe0453d6b03258ae0005688de?OpenDocument"/>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6"/>
    <m/>
    <m/>
    <d v="2025-08-05T00:00:00"/>
    <d v="2025-08-06T00:00:00"/>
    <m/>
    <m/>
    <m/>
    <m/>
    <m/>
    <x v="1"/>
    <m/>
    <m/>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3"/>
    <s v="11/02/2026"/>
    <s v="8ªRE _x000a_16/12/2025"/>
    <d v="2025-08-05T00:00:00"/>
    <d v="2025-08-06T00:00:00"/>
    <d v="2025-10-13T00:00:00"/>
    <d v="2026-02-23T00:00:00"/>
    <m/>
    <m/>
    <m/>
    <x v="0"/>
    <m/>
    <m/>
    <m/>
    <m/>
    <s v="http://alerjln1.alerj.rj.gov.br/scpro2327.nsf/18c1dd68f96be3e7832566ec0018d833/f22cb5cfa176bb5403258abc006fe7be?OpenDocument"/>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24"/>
    <s v="11/02/2026"/>
    <s v="8ªRE _x000a_16/12/2025"/>
    <d v="2025-08-05T00:00:00"/>
    <d v="2025-08-06T00:00:00"/>
    <d v="2025-10-13T00:00:00"/>
    <d v="2026-02-23T00:00:00"/>
    <m/>
    <m/>
    <m/>
    <x v="0"/>
    <s v="pl 1609/2023 em apenso"/>
    <m/>
    <m/>
    <m/>
    <s v="http://alerjln1.alerj.rj.gov.br/scpro2327.nsf/18c1dd68f96be3e7832566ec0018d833/d2005e2e97125fdf032589e3006643d6?OpenDocument"/>
  </r>
  <r>
    <x v="0"/>
    <s v="2023"/>
    <s v="1286/2023"/>
    <s v="ALTERA A LEI 9.374 DE 21 DE JULHO DE 2021 QUE DISPÕE SOBRE A DISPENSA DE SERVIDORES PÚBLICOS ESTADUAIS OU CONTRATADOS, RESPONSÁVEIS POR CRIANÇAS DE ATÉ 12 (DOZE) ANOS INCOMPLETOS, NA FORMA QUE MENCIONA."/>
    <s v="FRED PACHECO"/>
    <x v="8"/>
    <x v="2"/>
    <s v="11/02/2026"/>
    <s v="8ªRE _x000a_16/12/2025"/>
    <d v="2025-08-05T00:00:00"/>
    <d v="2025-08-06T00:00:00"/>
    <d v="2025-10-13T00:00:00"/>
    <d v="2026-02-12T00:00:00"/>
    <m/>
    <m/>
    <m/>
    <x v="0"/>
    <m/>
    <m/>
    <m/>
    <m/>
    <m/>
  </r>
  <r>
    <x v="0"/>
    <s v="2022"/>
    <s v="EP 5872/2022"/>
    <s v="AUTORIZA, O GOVERNO DO ESTADO DO RIO DE JANEIRO, POR INTERMÉDIO DA SECRETARIA DA SAÚDE, A DISPONIBILIZAR OS ANTICOAGULANTES RIVAROXABANA, DABIGATRANA, APIXABANA, EDOXABANA OU SIMILARES PARA O TRATAMENTO CONVENCIONAL DE TROMBOSE VENOSA."/>
    <s v="DR DEODALTO"/>
    <x v="8"/>
    <x v="25"/>
    <s v="23/09/2025"/>
    <s v="6ªRE_x000a_02/09/2025"/>
    <d v="2025-08-05T00:00:00"/>
    <d v="2025-08-06T00:00:00"/>
    <d v="2025-08-13T00:00:00"/>
    <m/>
    <m/>
    <m/>
    <m/>
    <x v="0"/>
    <m/>
    <m/>
    <m/>
    <m/>
    <s v="http://alerjln1.alerj.rj.gov.br/scpro1923.nsf/18c1dd68f96be3e7832566ec0018d833/b01c4f23ca849f010325883100629fb9?OpenDocument"/>
  </r>
  <r>
    <x v="0"/>
    <s v="2021"/>
    <s v="EP 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1"/>
    <x v="23"/>
    <s v="07/01/2026"/>
    <s v="8ªRE _x000a_16/12/2025"/>
    <d v="2025-08-07T00:00:00"/>
    <d v="2025-08-12T00:00:00"/>
    <d v="2025-09-30T00:00:00"/>
    <m/>
    <m/>
    <m/>
    <m/>
    <x v="1"/>
    <m/>
    <m/>
    <m/>
    <m/>
    <s v="http://alerjln1.alerj.rj.gov.br/scpro1923.nsf/18c1dd68f96be3e7832566ec0018d833/e32d62f9cb4e62b703258685005e366d?OpenDocument"/>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1"/>
    <x v="3"/>
    <s v="07/01/2026"/>
    <s v="8ªRE _x000a_16/12/2025"/>
    <d v="2025-08-07T00:00:00"/>
    <d v="2025-08-12T00:00:00"/>
    <d v="2025-09-30T00:00:00"/>
    <m/>
    <m/>
    <m/>
    <m/>
    <x v="1"/>
    <m/>
    <m/>
    <m/>
    <m/>
    <s v="http://alerjln1.alerj.rj.gov.br/scpro2327.nsf/18c1dd68f96be3e7832566ec0018d833/3afcfd9a8f0a502003258965005456c8?OpenDocument"/>
  </r>
  <r>
    <x v="0"/>
    <s v="2024"/>
    <s v="3907/2024"/>
    <s v="INSTITUI A POLÍTICA ESTADUAL DE CONSCIENTIZAÇÃO E EDUCAÇÃO SOBRE A HABITAÇÃO SEGURA E LEGAL NO ESTADO DO RIO DE JANEIRO."/>
    <s v="ZEIDAN"/>
    <x v="1"/>
    <x v="2"/>
    <s v="11/02/2026"/>
    <s v="8ªRE _x000a_16/12/2025"/>
    <d v="2025-08-07T00:00:00"/>
    <d v="2025-08-12T00:00:00"/>
    <d v="2025-09-30T00:00:00"/>
    <d v="2026-02-12T00:00:00"/>
    <m/>
    <m/>
    <m/>
    <x v="0"/>
    <m/>
    <m/>
    <m/>
    <m/>
    <s v="http://alerjln1.alerj.rj.gov.br/scpro2327.nsf/18c1dd68f96be3e7832566ec0018d833/1ea27ec312b8e68b03258b71005bb716?OpenDocument"/>
  </r>
  <r>
    <x v="0"/>
    <s v="2019"/>
    <s v="702/2019"/>
    <s v="INSTITUI A GRATUIDADE TEMPORÁRIA NO SISTEMA DE TRANSPORTE PÚBLICO COLETIVO DO ESTADO DO RIO DE JANEIRO PARA MULHERES VÍTIMAS DE VIOLÊNCIA DOMÉSTICA, E DÁ OUTRAS PROVIDÊNCIAS."/>
    <s v="RENATO COZZOLINO"/>
    <x v="7"/>
    <x v="2"/>
    <s v="05/03/2026"/>
    <s v="1ªRE _x000a_24/02/2026"/>
    <d v="2025-08-12T00:00:00"/>
    <d v="2025-08-12T00:00:00"/>
    <d v="2026-02-12T00:00:00"/>
    <d v="2026-03-05T00:00:00"/>
    <m/>
    <m/>
    <m/>
    <x v="0"/>
    <m/>
    <m/>
    <m/>
    <m/>
    <s v="&lt;a href='http://alerjln1.alerj.rj.gov.br/scpro1923.nsf/18c1dd68f96be3e7832566ec0018d833/bac01ba5373abf61832584100071a846?OpenDocument'&gt; LINK&lt;/a&gt;"/>
  </r>
  <r>
    <x v="0"/>
    <s v="2020"/>
    <s v="2047/2020"/>
    <s v="DISPÕE SOBRE A INTERNAÇÃO DE PACIENTES INFECTADOS PELA COVID-19 NA REDE PRIVADA DE HOSPITAIS, QUANDO REQUERIDO POR MÉDICO CREDENCIADO AO SISTEMA ÚNICO DE SAÚDE, EM CASO DE INEXISTÊNCIA DE VAGA NA REDE PÚBLICA."/>
    <s v="FLAVIO SERAFINI,ELIOMAR COELHO,RENATA SOUZA,DANI MONTEIRO,MÔNICA FRANCISCO"/>
    <x v="1"/>
    <x v="4"/>
    <s v="11/02/2026"/>
    <s v="8ªRE _x000a_16/12/2025"/>
    <d v="2025-08-12T00:00:00"/>
    <d v="2025-08-12T00:00:00"/>
    <d v="2025-09-30T00:00:00"/>
    <d v="2026-02-12T00:00:00"/>
    <m/>
    <m/>
    <m/>
    <x v="0"/>
    <m/>
    <m/>
    <m/>
    <m/>
    <s v="&lt;a href='http://alerjln1.alerj.rj.gov.br/scpro1923.nsf/18c1dd68f96be3e7832566ec0018d833/1d14744e1bfe3acc0325852f0067006a?OpenDocument'&gt; LINK&lt;/a&gt;"/>
  </r>
  <r>
    <x v="0"/>
    <s v="2020"/>
    <s v="3314/2020"/>
    <s v="ALTERA O ANEXO DA LEI Nº 5645, DE 6 DE JANEIRO DE 2010, INCLUINDO NO CALENDÁRIO OFICIAL DO ESTADO DO RIO DE JANEIRO A SEMANA ESTADUAL DA SUINOCULTURA."/>
    <s v="DANNIEL LIBRELON"/>
    <x v="1"/>
    <x v="3"/>
    <s v="11/02/2026"/>
    <s v="8ªRE _x000a_16/12/2025"/>
    <d v="2025-08-12T00:00:00"/>
    <d v="2025-08-12T00:00:00"/>
    <d v="2025-09-30T00:00:00"/>
    <d v="2026-02-12T00:00:00"/>
    <m/>
    <m/>
    <m/>
    <x v="0"/>
    <m/>
    <m/>
    <m/>
    <m/>
    <s v="&lt;a href='http://alerjln1.alerj.rj.gov.br/scpro1923.nsf/18c1dd68f96be3e7832566ec0018d833/c20cd4f3235aee1c0325861c005cfa02?OpenDocument'&gt; LINK&lt;/a&gt;"/>
  </r>
  <r>
    <x v="0"/>
    <s v="2020"/>
    <s v="3369/2020"/>
    <s v="ASSEGURA O ACESSO DE ANIMAIS DOMÉSTICOS E DE ESTIMAÇÃO EM ASILOS, CRECHES E UNIDADES DESTINADAS À INTERNAÇÃO E TRATAMENTO DE PESSOAS COM TRANSTORNOS MENTAIS E DEPENDENTES QUÍMICOS E DÁ OUTRAS PROVIDÊNCIAS."/>
    <s v="DANNIEL LIBRELON"/>
    <x v="1"/>
    <x v="23"/>
    <s v="11/02/2026"/>
    <s v="8ªRE _x000a_16/12/2025"/>
    <d v="2025-08-12T00:00:00"/>
    <d v="2025-08-12T00:00:00"/>
    <d v="2025-09-30T00:00:00"/>
    <d v="2026-02-12T00:00:00"/>
    <m/>
    <m/>
    <m/>
    <x v="0"/>
    <m/>
    <m/>
    <m/>
    <m/>
    <s v="&lt;a href='http://alerjln1.alerj.rj.gov.br/scpro1923.nsf/18c1dd68f96be3e7832566ec0018d833/13f3c064ef01ef660325862c005ae0aa?OpenDocument'&gt; LINK&lt;/a&gt;"/>
  </r>
  <r>
    <x v="0"/>
    <s v="2021"/>
    <s v="4740/2021"/>
    <s v="DISPÕE SOBRE O FORNECIMENTO DE PROTETOR AURICULAR PARA PESSOAS COM TRANSTORNO DE ESPECTRO AUTISTA (TEA) PELO METRÔ DO RIO DE JANEIRO E PELA SUPERVIA, NA FORMA QUE MENCIONA"/>
    <s v="TIA JU"/>
    <x v="1"/>
    <x v="2"/>
    <s v="11/02/2026"/>
    <s v="8ªRE _x000a_16/12/2025"/>
    <d v="2025-08-12T00:00:00"/>
    <d v="2025-08-12T00:00:00"/>
    <d v="2025-09-30T00:00:00"/>
    <d v="2026-02-12T00:00:00"/>
    <m/>
    <m/>
    <m/>
    <x v="0"/>
    <m/>
    <m/>
    <m/>
    <m/>
    <s v="&lt;a href='http://alerjln1.alerj.rj.gov.br/scpro1923.nsf/18c1dd68f96be3e7832566ec0018d833/e29a9ad8b1858ba103258742005a7dd5?OpenDocument'&gt; LINK&lt;/a&gt;"/>
  </r>
  <r>
    <x v="0"/>
    <s v="2023"/>
    <s v="30/2023"/>
    <s v="DISPÕE SOBRE A OBRIGATORIEDADE DE AS OPERADORAS DE PLANO DE SAÚDE  REEMBOLSAREM, NO VALOR PREVISTO EM TABELA, O TRATAMENTO E/OU TERAPIA COBERTOS, CASO TENHA SIDO CUSTEADO PELO CONSUMIDOR, EM RAZÃO DA INDISPONIBILIDADE MOMENTÂNEA OU NÃO, DO SERVIÇO PREVISTO EM CONTRATO."/>
    <s v="MARTHA ROCHA"/>
    <x v="1"/>
    <x v="3"/>
    <s v="07/01/2026"/>
    <s v="8ªRE _x000a_16/12/2025"/>
    <d v="2025-08-12T00:00:00"/>
    <d v="2025-08-12T00:00:00"/>
    <d v="2025-09-30T00:00:00"/>
    <m/>
    <m/>
    <m/>
    <m/>
    <x v="1"/>
    <m/>
    <m/>
    <m/>
    <m/>
    <s v="&lt;a href='http://alerjln1.alerj.rj.gov.br/scpro2327.nsf/18c1dd68f96be3e7832566ec0018d833/4316729cb259c4cd0325894a006d8002?OpenDocument'&gt; LINK&lt;/a&gt;"/>
  </r>
  <r>
    <x v="0"/>
    <s v="2022"/>
    <s v="5588/2022"/>
    <s v="INSTITUI A CARTEIRA DE IDENTIFICAÇÃO DA PESSOA COM FIBROMIALGIA (CIPFIBRO) NO ÂMBITO DO ESTADO DO RIO DE JANEIRO."/>
    <s v="RODRIGO AMORIM"/>
    <x v="7"/>
    <x v="10"/>
    <s v="20/02/2026"/>
    <s v="8ªRE _x000a_16/12/2025"/>
    <d v="2025-08-12T00:00:00"/>
    <d v="2025-08-12T00:00:00"/>
    <d v="2025-11-17T00:00:00"/>
    <d v="2026-02-23T00:00:00"/>
    <m/>
    <m/>
    <m/>
    <x v="0"/>
    <s v="PL 561/2023 apensado"/>
    <m/>
    <m/>
    <m/>
    <s v="&lt;a href='http://alerjln1.alerj.rj.gov.br/scpro1923.nsf/18c1dd68f96be3e7832566ec0018d833/5bebbd6ebb1017a2032588060066f8f6?OpenDocument'&gt; LINK&lt;/a&gt;"/>
  </r>
  <r>
    <x v="0"/>
    <s v="2023"/>
    <s v="116/2023"/>
    <s v="ALTERA A LEI Nº 4.077, DE 07 DE JANEIRO DE 2003, PARA REGULAMENTAR A DOAÇÃO DE EXEMPLARES DE LIVROS PRODUZIDOS NO ESTADO DO RIO DE JANEIRO PARA A BIBLIOTECA PÚBLICA ESTADUAL E OUTRAS BIBLIOTECAS PÚBLICAS."/>
    <s v="MÁRCIO CANELLA"/>
    <x v="7"/>
    <x v="3"/>
    <s v="07/01/2026"/>
    <s v="8ªRE _x000a_16/12/2025"/>
    <d v="2025-08-12T00:00:00"/>
    <d v="2025-08-12T00:00:00"/>
    <d v="2025-11-27T00:00:00"/>
    <m/>
    <m/>
    <m/>
    <m/>
    <x v="1"/>
    <m/>
    <m/>
    <m/>
    <m/>
    <s v="&lt;a href='http://alerjln1.alerj.rj.gov.br/scpro2327.nsf/18c1dd68f96be3e7832566ec0018d833/db7484ab156fce410325894a00606dab?OpenDocument'&gt; LINK&lt;/a&gt;"/>
  </r>
  <r>
    <x v="0"/>
    <s v="2023"/>
    <s v="901/2023"/>
    <s v="CRIA A ESCOLA DE TURISMO DO ESTADO_x000a_DO RIO DE JANEIRO."/>
    <s v="VINICIUS COZZOLINO"/>
    <x v="7"/>
    <x v="2"/>
    <s v="27/02/2026"/>
    <s v="1ªRE _x000a_24/02/2026"/>
    <d v="2025-08-12T00:00:00"/>
    <d v="2025-08-12T00:00:00"/>
    <d v="2026-02-12T00:00:00"/>
    <s v="27/02/2026"/>
    <m/>
    <m/>
    <m/>
    <x v="0"/>
    <m/>
    <m/>
    <m/>
    <m/>
    <s v="&lt;a href='http://alerjln1.alerj.rj.gov.br/scpro2327.nsf/18c1dd68f96be3e7832566ec0018d833/59328c69d2994d9f032589940062021f?OpenDocument'&gt; LINK&lt;/a&gt;"/>
  </r>
  <r>
    <x v="0"/>
    <s v="2023"/>
    <s v="910/2023"/>
    <s v="ALTERA A LEI Nº 8.520, DE 10 DE SETEMBRO DE 2019, QUE DISPÕE SOBRE A TRANSPARÊNCIA ACERCA DA DÍVIDA ATIVA DO ESTADO DO RIO DE JANEIRO, NA FORMA QUE MENCIONA."/>
    <s v="VINICIUS COZZOLINO"/>
    <x v="7"/>
    <x v="3"/>
    <s v="20/02/2026"/>
    <s v="1ªRE _x000a_24/02/2026"/>
    <d v="2025-08-12T00:00:00"/>
    <d v="2025-08-12T00:00:00"/>
    <d v="2025-11-17T00:00:00"/>
    <d v="2026-02-23T00:00:00"/>
    <m/>
    <m/>
    <m/>
    <x v="0"/>
    <m/>
    <m/>
    <m/>
    <m/>
    <s v="&lt;a href='http://alerjln1.alerj.rj.gov.br/scpro2327.nsf/18c1dd68f96be3e7832566ec0018d833/09b50e234a484fdc03258995004f4e54?OpenDocument'&gt; LINK&lt;/a&gt;"/>
  </r>
  <r>
    <x v="0"/>
    <s v="2023"/>
    <s v="1468/2023"/>
    <s v="DISPÕE SOBRE A OBRIGATORIEDADE DE AVISO SONORO E CRONÔMETRO NAS PLATAFORMAS DE METRÔS E TRENS, COM ALERTA E ORIENTAÇÃO AOS USUÁRIOS, SOBRE O FECHAMENTO DAS PORTAS."/>
    <s v="RODRIGO AMORIM"/>
    <x v="7"/>
    <x v="24"/>
    <s v="20/02/2026"/>
    <s v="8ªRE _x000a_16/12/2025"/>
    <d v="2025-08-12T00:00:00"/>
    <d v="2025-08-12T00:00:00"/>
    <d v="2025-11-17T00:00:00"/>
    <d v="2026-02-23T00:00:00"/>
    <m/>
    <m/>
    <m/>
    <x v="0"/>
    <m/>
    <m/>
    <m/>
    <m/>
    <s v="&lt;a href='http://alerjln1.alerj.rj.gov.br/scpro2327.nsf/18c1dd68f96be3e7832566ec0018d833/a6f12487d44d7101032589dc0055ef8f?OpenDocument'&gt; LINK&lt;/a&gt;"/>
  </r>
  <r>
    <x v="0"/>
    <s v="2023"/>
    <s v="1654/2023"/>
    <s v="PROÍBE A EXIGÊNCIA DE CARÊNCIA PELAS OPERADORAS DE PLANOS DE SAÚDE A CONSUMIDORES COM TRANSTORNO DO ESPECTRO AUTISTA (TEA)."/>
    <s v="FRED PACHECO"/>
    <x v="7"/>
    <x v="10"/>
    <s v="20/02/2026"/>
    <s v="8ªRE _x000a_16/12/2025"/>
    <d v="2025-08-12T00:00:00"/>
    <d v="2025-08-12T00:00:00"/>
    <d v="2025-11-17T00:00:00"/>
    <d v="2026-02-23T00:00:00"/>
    <m/>
    <m/>
    <m/>
    <x v="0"/>
    <m/>
    <m/>
    <m/>
    <m/>
    <s v="&lt;a href='http://alerjln1.alerj.rj.gov.br/scpro2327.nsf/18c1dd68f96be3e7832566ec0018d833/b3d88e33b22e0a9d03258a000053ca37?OpenDocument'&gt; LINK&lt;/a&gt;"/>
  </r>
  <r>
    <x v="0"/>
    <s v="2023"/>
    <s v="2160/2023"/>
    <s v="PROÍBE A INSTALAÇÃO DE CÂMERAS DE SEGURANÇA EM LOCAIS QUE POSSAM CAPTAR INFORMAÇÕES DE CARTÕES, CÓDIGOS VERIFICADORES E SENHAS DOS CONSUMIDORES EM ESTABELECIMENTOS COMERCIAIS, NO ÂMBITO DO ESTADO DO RIO DE JANEIRO."/>
    <s v="JORGE FELIPPE NETO"/>
    <x v="4"/>
    <x v="6"/>
    <m/>
    <m/>
    <d v="2025-08-12T00:00:00"/>
    <d v="2025-08-12T00:00:00"/>
    <m/>
    <m/>
    <m/>
    <m/>
    <m/>
    <x v="1"/>
    <s v="Estava com LUIZ PAULO mas peguei porque o mesmo saiu da Comissão (18/05/2026)"/>
    <m/>
    <m/>
    <m/>
    <s v="&lt;a href='http://alerjln1.alerj.rj.gov.br/scpro2327.nsf/18c1dd68f96be3e7832566ec0018d833/d3a06d4f06051dff03258a31005e3cb5?OpenDocument'&gt; LINK&lt;/a&gt;"/>
  </r>
  <r>
    <x v="0"/>
    <s v="2024"/>
    <s v="3232/2024"/>
    <s v="OBRIGA AS CONCESSIONÁRIAS PRESTADORAS DE SERVIÇOS PÚBLICOS DE TRANSPORTE DO ESTADO DO RIO DE JANEIRO À CRIAÇÃO DE APLICATIVO MÓVEL COM O OBJETIVO DE FORNECER INFORMAÇÕES EM TEMPO REAL SOBRE OS HORÁRIOS DE TODOS OS MODAIS DE TRANSPORTE DO ESTADO DO RIO DE JANEIRO"/>
    <s v="VINICIUS COZZOLINO"/>
    <x v="7"/>
    <x v="23"/>
    <s v="20/02/2026"/>
    <s v="8ªRE _x000a_16/12/2025"/>
    <d v="2025-08-12T00:00:00"/>
    <d v="2025-08-12T00:00:00"/>
    <d v="2025-11-17T00:00:00"/>
    <d v="2026-02-23T00:00:00"/>
    <m/>
    <m/>
    <m/>
    <x v="0"/>
    <m/>
    <m/>
    <m/>
    <m/>
    <s v="&lt;a href='http://alerjln1.alerj.rj.gov.br/scpro2327.nsf/18c1dd68f96be3e7832566ec0018d833/cb5b31afefb624ce03258ae5005a4581?OpenDocument'&gt; LINK&lt;/a&gt;"/>
  </r>
  <r>
    <x v="0"/>
    <s v="2023"/>
    <s v="2766/2023"/>
    <s v="INSTITUI O SELO &quot;ESCOLA QUE VALORIZA  A VIDA&quot; , NO ÂMBITO DO ESTADO DO RIO DE JANEIRO"/>
    <s v="GIOVANI RATINHO"/>
    <x v="7"/>
    <x v="2"/>
    <s v="17/09/2025"/>
    <s v="6ªRE_x000a_02/09/2025"/>
    <d v="2025-09-02T00:00:00"/>
    <m/>
    <d v="2025-08-13T00:00:00"/>
    <m/>
    <m/>
    <m/>
    <m/>
    <x v="0"/>
    <m/>
    <m/>
    <m/>
    <m/>
    <s v="&lt;a href='http://alerjln1.alerj.rj.gov.br/scpro2327.nsf/18c1dd68f96be3e7832566ec0018d833/6ec631ccbb85ec3003258a830058bba5?OpenDocument'&gt; LINK&lt;/a&gt;"/>
  </r>
  <r>
    <x v="0"/>
    <s v="2020"/>
    <s v="2786/2020"/>
    <s v="DISPÕE SOBRE A CRIAÇÃO DO PROGRAMA DE PROTEÇÃO E CONSERVAÇÃO DAS NASCENTES DE ÁGUA."/>
    <s v="DANNIEL LIBRELON"/>
    <x v="7"/>
    <x v="3"/>
    <s v="17/09/2025"/>
    <s v="6ªRE_x000a_02/09/2025"/>
    <d v="2025-09-02T00:00:00"/>
    <m/>
    <d v="2025-08-13T00:00:00"/>
    <m/>
    <m/>
    <m/>
    <m/>
    <x v="0"/>
    <m/>
    <m/>
    <m/>
    <m/>
    <s v="&lt;a href='http://alerjln1.alerj.rj.gov.br/scpro1923.nsf/18c1dd68f96be3e7832566ec0018d833/5e641e8f54aa82070325859100540133?OpenDocument'&gt; LINK&lt;/a&gt;"/>
  </r>
  <r>
    <x v="0"/>
    <s v="2019"/>
    <s v="EP 489/2019"/>
    <s v="CRIA O ÍNDICE DE SEGURANÇA DAS ESCOLAS DA REDE DE ENSINO PÚBLICO DO ESTADO DO RIO DE JANEIRO."/>
    <s v="CARLO CAIADO"/>
    <x v="7"/>
    <x v="26"/>
    <s v="18/09/2025"/>
    <s v="6ªRE_x000a_02/09/2025"/>
    <m/>
    <m/>
    <d v="2025-08-13T00:00:00"/>
    <m/>
    <m/>
    <m/>
    <m/>
    <x v="0"/>
    <m/>
    <m/>
    <m/>
    <m/>
    <s v="&lt;a href='http://alerjln1.alerj.rj.gov.br/scpro1923.nsf/18c1dd68f96be3e7832566ec0018d833/9dbd3ec60ca373a5832583f2007226fd?OpenDocument'&gt; LINK&lt;/a&gt;"/>
  </r>
  <r>
    <x v="0"/>
    <s v="2019"/>
    <s v="323/2019"/>
    <s v="DISPÕE SOBRE A OBRIGATORIEDADE DE DISPONIBILIZAÇÃO E MANUTENÇÃO DE DESFIBRILADOR CARDÍACO EXTERNO AUTOMÁTICO (DEA), NAS AMBULÂNCIAS DO TIPO &quot;B&quot;, &quot;C&quot; E &quot;D&quot;, UTILIZADAS NA REDE PÚBLICA E PRIVADA DE SAÚDE DO ESTADO DO RIO DE JANEIRO."/>
    <s v="MÁRCIO CANELLA"/>
    <x v="7"/>
    <x v="3"/>
    <s v="18/09/2025"/>
    <s v="6ªRE_x000a_02/09/2025"/>
    <d v="2025-09-02T00:00:00"/>
    <m/>
    <d v="2025-08-13T00:00:00"/>
    <m/>
    <m/>
    <m/>
    <m/>
    <x v="0"/>
    <m/>
    <m/>
    <m/>
    <m/>
    <s v="&lt;a href='http://alerjln1.alerj.rj.gov.br/scpro1923.nsf/18c1dd68f96be3e7832566ec0018d833/cb7d5bcbc591b78e832583ca0060d1ab?OpenDocument'&gt; LINK&lt;/a&gt;"/>
  </r>
  <r>
    <x v="0"/>
    <s v="2023"/>
    <s v="759/2023"/>
    <s v="CRIA PROGRAMA PARA PROTEÇÃO DE MÃES, PAIS E RESPONSÁVEIS PELAS PESSOAS COM TRANSTORNO DO ESPECTRO AUTISTA (TEA) E DÁ OUTRAS PROVIDÊNCIAS"/>
    <s v="ELTON CRISTO"/>
    <x v="7"/>
    <x v="3"/>
    <s v="18/09/2025"/>
    <s v="6ªRE_x000a_02/09/2025"/>
    <d v="2025-09-02T00:00:00"/>
    <m/>
    <d v="2025-08-13T00:00:00"/>
    <m/>
    <m/>
    <m/>
    <m/>
    <x v="0"/>
    <m/>
    <m/>
    <m/>
    <m/>
    <s v="&lt;a href='http://alerjln1.alerj.rj.gov.br/scpro2327.nsf/18c1dd68f96be3e7832566ec0018d833/5bce7cf77e72733c032589900059e367?OpenDocument'&gt; LINK&lt;/a&gt;"/>
  </r>
  <r>
    <x v="0"/>
    <s v="2023"/>
    <s v="2632/2023"/>
    <s v="DISPÕE SOBRE A CRIAÇÃO DA CAMPANHA DE CONSCIENTIZAÇÃO SOBRE A SAÚDE DOS PÉS."/>
    <s v="VALDECY DA SAUDE"/>
    <x v="7"/>
    <x v="3"/>
    <s v="17/09/2025"/>
    <s v="6ªRE_x000a_02/09/2025"/>
    <d v="2025-09-02T00:00:00"/>
    <m/>
    <d v="2025-08-13T00:00:00"/>
    <m/>
    <m/>
    <m/>
    <m/>
    <x v="0"/>
    <m/>
    <m/>
    <m/>
    <m/>
    <s v="&lt;a href='http://alerjln1.alerj.rj.gov.br/scpro2327.nsf/18c1dd68f96be3e7832566ec0018d833/abe1c7d67ed2aa4b03258a6900539ca1?OpenDocument'&gt; LINK&lt;/a&gt;"/>
  </r>
  <r>
    <x v="0"/>
    <s v="2023"/>
    <s v="2768/2023"/>
    <s v="DISPÕE SOBRE RESPONSABILIDADE PELAS DESPESAS COM O TRATAMENTO MÉDICO HOSPITALAR DA VÍTIMA DE CRIME DOLOSO, AINDA QUE TENTADO, NO ÂMBITO DO ESTADO DE RIO DE JANEIRO, E DÁ OUTRAS PROVIDÊNCIAS"/>
    <s v="ELTON CRISTO"/>
    <x v="7"/>
    <x v="17"/>
    <s v="07/01/2026"/>
    <s v="8ªRE _x000a_16/12/2025"/>
    <d v="2025-09-02T00:00:00"/>
    <m/>
    <d v="2025-08-13T00:00:00"/>
    <d v="2026-02-12T00:00:00"/>
    <s v="CÉLIA JORDÃO"/>
    <s v="FAVORÁVEL, COM EMENDA"/>
    <d v="2025-10-23T00:00:00"/>
    <x v="0"/>
    <s v="VISTA DE CÉLIA JORDÃO EM 02-SET_x000a_NA reunião, do dia 16-12, o Relator acatou a emenda da Dep. Célia"/>
    <m/>
    <m/>
    <m/>
    <s v="&lt;a href='http://alerjln1.alerj.rj.gov.br/scpro2327.nsf/18c1dd68f96be3e7832566ec0018d833/41f53da7d07ce0b103258a830066d18a?OpenDocument'&gt; LINK&lt;/a&gt;"/>
  </r>
  <r>
    <x v="0"/>
    <s v="2024"/>
    <s v="2874/2024"/>
    <s v="ESTABELECE PRIORIDADE NA REMOÇÃO DE PACIENTES PARA HOSPITAIS DO ESTADO DO RIO DE JANEIRO"/>
    <s v="MARTHA ROCHA"/>
    <x v="7"/>
    <x v="3"/>
    <s v="17/09/2025"/>
    <s v="6ªRE_x000a_02/09/2025"/>
    <m/>
    <m/>
    <d v="2025-08-13T00:00:00"/>
    <m/>
    <m/>
    <m/>
    <m/>
    <x v="0"/>
    <m/>
    <m/>
    <m/>
    <m/>
    <s v="&lt;a href='http://alerjln1.alerj.rj.gov.br/scpro2327.nsf/18c1dd68f96be3e7832566ec0018d833/fe73056181f255c903258aba00500742?OpenDocument'&gt; LINK&lt;/a&gt;"/>
  </r>
  <r>
    <x v="0"/>
    <s v="2023"/>
    <s v="2696/2023"/>
    <s v="AUTORIZA O PODER EXECUTIVO A INSTITUIR UMA CAMPANHA DE CONSCIENTIZAÇÃO PARA O COMBATE E PREVENÇÃO DE ACIDENTES CAUSADOS POR RAIOS NO ESTADO DO RIO DE JANEIRO"/>
    <s v="ELIKA TAKIMOTO"/>
    <x v="7"/>
    <x v="3"/>
    <s v="17/09/2025"/>
    <s v="6ªRE_x000a_02/09/2025"/>
    <d v="2025-09-02T00:00:00"/>
    <m/>
    <d v="2025-08-13T00:00:00"/>
    <m/>
    <m/>
    <m/>
    <m/>
    <x v="0"/>
    <m/>
    <m/>
    <m/>
    <m/>
    <s v="&lt;a href='http://alerjln1.alerj.rj.gov.br/scpro2327.nsf/18c1dd68f96be3e7832566ec0018d833/7e878e5d5f38832103258a770050fdb5?OpenDocument'&gt; LINK&lt;/a&gt;"/>
  </r>
  <r>
    <x v="0"/>
    <s v="2023"/>
    <s v="905/2023"/>
    <s v="DETERMINA A DISPONIBILIZAÇÃO DE LEITOS APROPRIADOS PARA PESSOAS COM DEFICIÊNCIA DE LOCOMOÇÃO OU MOBILIDADE REDUZIDA EM HOTÉIS, ALBERGUES, POUSADAS E ASSEMELHADOS E DÁ OUTRAS PROVIDÊNCIAS."/>
    <s v="VINICIUS COZZOLINO"/>
    <x v="2"/>
    <x v="3"/>
    <s v="11/02/2026"/>
    <s v="8ªRE _x000a_16/12/2025"/>
    <d v="2025-08-12T00:00:00"/>
    <d v="2025-09-23T00:00:00"/>
    <d v="2025-10-01T00:00:00"/>
    <d v="2026-02-12T00:00:00"/>
    <m/>
    <m/>
    <m/>
    <x v="0"/>
    <s v="Estava com Carlos Macedo e foi encaminado ao Renato Miranda em 23.09.2025"/>
    <m/>
    <m/>
    <m/>
    <s v="&lt;a href='http://alerjln1.alerj.rj.gov.br/scpro2327.nsf/18c1dd68f96be3e7832566ec0018d833/c3780f644d5931fb0325899b0052d4d4?OpenDocument'&gt; LINK&lt;/a&gt;"/>
  </r>
  <r>
    <x v="0"/>
    <s v="2019"/>
    <s v="1671/2019"/>
    <s v="AUTORIZA O PODER EXECUTIVO A INTITUIR O SISTEMA DE BOLSA DE ESTUDO PARA OS DEPENDENTES DOS POLICIAIS E BOMBEIROS MILITARES FALECIDOS NO EXERCÍCIO DE SUA ATIVIDADE FUNCIONAL, NO ÂMBITO DO ESTADO DO RIO DE JANEIRO, NA FORMA QUE MENCIONA"/>
    <s v="BRAZÃO,ANDRÉ CECILIANO,RODRIGO BACELLAR,ROSENVERG REIS"/>
    <x v="0"/>
    <x v="0"/>
    <m/>
    <s v="8ªRE_x000a_12/11/2024"/>
    <m/>
    <m/>
    <m/>
    <m/>
    <m/>
    <m/>
    <m/>
    <x v="0"/>
    <s v="Estava &quot;perdido&quot; no gabinete e foi Devolvido a Sandra em 21/08/2025 já com a conclusão e parecer refeitos para prosseguimento de retorno à CCJ por ter emendas"/>
    <m/>
    <m/>
    <m/>
    <s v="&lt;a href='http://alerjln1.alerj.rj.gov.br/scpro1923.nsf/18c1dd68f96be3e7832566ec0018d833/93b82a94202b4d68032584be0063bdda?OpenDocument'&gt; LINK&lt;/a&gt;"/>
  </r>
  <r>
    <x v="0"/>
    <s v="2023"/>
    <s v="12/2023"/>
    <s v="INSTITUI O FUNDO ESTADUAL DE EDUCAÇÃO NO ÂMBITO DO ESTADO DO RIO DE JANEIRO."/>
    <s v="ROSENVERG REIS"/>
    <x v="4"/>
    <x v="6"/>
    <m/>
    <m/>
    <m/>
    <m/>
    <m/>
    <m/>
    <m/>
    <m/>
    <m/>
    <x v="4"/>
    <s v="Estava com LUIZ PAULO mas peguei porque o mesmo saiu da Comissão (18/05/2026)"/>
    <m/>
    <m/>
    <m/>
    <s v="&lt;a href='http://alerjln1.alerj.rj.gov.br/scpro2327.nsf/18c1dd68f96be3e7832566ec0018d833/f707fdabd63d32fa0325894a006d93c8?OpenDocument'&gt; LINK&lt;/a&gt;"/>
  </r>
  <r>
    <x v="0"/>
    <s v="2022"/>
    <s v="5637/2022"/>
    <s v="CLASSIFICA A LAGOA DE ARARUAMA COMO PARAÍSO DO KITESURF NO ESTADO DO RIO DE JANEIRO."/>
    <s v="DR DEODALTO"/>
    <x v="6"/>
    <x v="3"/>
    <s v="11/02/2026"/>
    <s v="8ªRE _x000a_16/12/2025"/>
    <d v="2025-09-02T00:00:00"/>
    <m/>
    <d v="2025-08-12T00:00:00"/>
    <d v="2026-03-18T00:00:00"/>
    <s v="CÉLIA JORDÃO"/>
    <s v="FAVORÁVEL, COM EMENDA"/>
    <d v="2025-10-23T00:00:00"/>
    <x v="0"/>
    <s v="VISTA DE CÉLIA JORDÃO EM 02-SET_x000a_APROVADO O VOTO DO VENCIDO"/>
    <m/>
    <m/>
    <m/>
    <s v="http://alerjln1.alerj.rj.gov.br/scpro1923.nsf/18c1dd68f96be3e7832566ec0018d833/c82e4540195568440325880c00494277?OpenDocument"/>
  </r>
  <r>
    <x v="0"/>
    <s v="2023"/>
    <s v="EP 1214/2023"/>
    <s v="DISPÕE SOBRE A CRIAÇÃO DA CAMPANHA &quot;PÉ NA FAIXA, PEDESTRE SEGURO&quot; PARA CONSCIENTIZAÇÃO DOS PEDESTRES E MOTORISTAS E DÁ OUTRAS PROVIDENCIAS."/>
    <s v="INDIA ARMELAU, Filippe Poubel"/>
    <x v="6"/>
    <x v="27"/>
    <s v="24/09/2025"/>
    <s v="6ªRE_x000a_02/09/2025"/>
    <d v="2025-09-02T00:00:00"/>
    <m/>
    <d v="2025-08-12T00:00:00"/>
    <m/>
    <m/>
    <m/>
    <m/>
    <x v="0"/>
    <s v="publicado em 22/09/2025 e republicado no dia 24/09/2025"/>
    <m/>
    <m/>
    <m/>
    <s v="&lt;a href='http://alerjln1.alerj.rj.gov.br/scpro2327.nsf/18c1dd68f96be3e7832566ec0018d833/9e9a4bc481e1714a032589b1004bfa8e?OpenDocument'&gt; LINK&lt;/a&gt;"/>
  </r>
  <r>
    <x v="0"/>
    <s v="2021"/>
    <s v="4743/2021"/>
    <s v="DISPÕE SOBRE A ISENÇÃO DE TRIBUTOS ESTADUAIS PARA AQUISIÇÃO DE EQUIPAMENTOS DOMICILIARES QUE AUXILIEM A ACESSIBILIDADE PARA AS PESSOAS COM DEFICIÊNCIAS"/>
    <s v="MARCELO DINO"/>
    <x v="6"/>
    <x v="2"/>
    <s v="19/09/2025"/>
    <s v="6ªRE_x000a_02/09/2025"/>
    <d v="2025-09-02T00:00:00"/>
    <m/>
    <d v="2025-08-12T00:00:00"/>
    <m/>
    <m/>
    <m/>
    <m/>
    <x v="0"/>
    <m/>
    <m/>
    <m/>
    <m/>
    <s v="&lt;a href='http://alerjln1.alerj.rj.gov.br/scpro1923.nsf/18c1dd68f96be3e7832566ec0018d833/0dff5ddc3ca6bfaa03258742005b5293?OpenDocument'&gt; LINK&lt;/a&gt;"/>
  </r>
  <r>
    <x v="0"/>
    <s v="2018"/>
    <s v="4254/2018"/>
    <s v="INSTITUI O CIRCUITO ESTADUAL DE CORRIDAS DE RUA DENOMINADO &quot;VEM PRA RUA&quot;."/>
    <s v="ÁTILA NUNES"/>
    <x v="6"/>
    <x v="28"/>
    <s v="11/02/2026"/>
    <s v="8ªRE _x000a_16/12/2025"/>
    <d v="2025-09-02T00:00:00"/>
    <m/>
    <d v="2025-08-12T00:00:00"/>
    <d v="2026-03-18T00:00:00"/>
    <s v="CÉLIA JORDÃO"/>
    <s v="FAVORÁVEL, COM EMENDAS"/>
    <d v="2025-10-23T00:00:00"/>
    <x v="0"/>
    <s v="VISTA DE CÉLIA JORDÃO EM 02-SET_x000a_APROVADO O VOTO DO VENCIDO"/>
    <m/>
    <m/>
    <m/>
    <s v="http://alerjln1.alerj.rj.gov.br/scpro1519.nsf/18c1dd68f96be3e7832566ec0018d833/0033632354f2d157832582ba0062031d?OpenDocument"/>
  </r>
  <r>
    <x v="0"/>
    <s v="2018"/>
    <s v="4553/2018"/>
    <s v="DISPÕE SOBRE A CRIAÇÃO DE PROGRAMA DE PREVENÇÃO DA SAÚDE DA SÍNDROME DE ZELLWEGER, NO ÂMBITO DO ESTADO DO RIO DE JANEIRO."/>
    <s v="ÁTILA NUNES"/>
    <x v="6"/>
    <x v="3"/>
    <s v="19/09/2025"/>
    <s v="6ªRE_x000a_02/09/2025"/>
    <d v="2025-09-02T00:00:00"/>
    <m/>
    <d v="2025-08-12T00:00:00"/>
    <m/>
    <m/>
    <m/>
    <m/>
    <x v="0"/>
    <m/>
    <m/>
    <m/>
    <m/>
    <s v="&lt;a href='http://alerjln1.alerj.rj.gov.br/scpro1519.nsf/18c1dd68f96be3e7832566ec0018d833/c8dacf8f8d671e0a03258369003f7e85?OpenDocument'&gt; LINK&lt;/a&gt;"/>
  </r>
  <r>
    <x v="0"/>
    <s v="2023"/>
    <s v="1457/2023"/>
    <s v="AUTORIZA O PODER EXECUTIVO A ALTERAR O ARTIGO 19 DA LEI Nº 9537, DE 29 DEZEMBRO DE 2021 QUE DISPÕE SOBRE O SISTEMA DE PROTEÇÃO SOCIAL DOS MILITARES DO ESTADO DO RIO DE JANEIRO (SPSMERJ), ALTERA A LEI ESTADUAL Nº 279, DE 26 DE NOVEMBRO DE 1979, E DÁ OUTRAS PROVIDÊNCIAS"/>
    <s v="RODRIGO BACELLAR"/>
    <x v="6"/>
    <x v="0"/>
    <m/>
    <m/>
    <m/>
    <m/>
    <d v="2025-08-12T00:00:00"/>
    <m/>
    <m/>
    <m/>
    <m/>
    <x v="0"/>
    <s v="Retirado de pauta por ser TIL, em 20-08-2025"/>
    <m/>
    <m/>
    <m/>
    <s v="&lt;a href='http://alerjln1.alerj.rj.gov.br/scpro2327.nsf/18c1dd68f96be3e7832566ec0018d833/63c5eaeec76e57ab032589db005fd66b?OpenDocument'&gt; LINK&lt;/a&gt;"/>
  </r>
  <r>
    <x v="0"/>
    <s v="2023"/>
    <s v="1174/2023"/>
    <s v="DISPÕE SOBRE A INCLUSÃO DE NUTRICIONISTA E FISIOTERAPEUTA NOS CENTROS DE TRATAMENTO ONCOLÓGICO NO ÂMBITO DO ESTADO DO RIO DE JANEIRO"/>
    <s v="MUNIR NETO"/>
    <x v="6"/>
    <x v="3"/>
    <s v="20/02/2026"/>
    <s v="8ªRE _x000a_16/12/2025"/>
    <d v="2025-09-02T00:00:00"/>
    <m/>
    <d v="2025-08-12T00:00:00"/>
    <d v="2026-02-23T00:00:00"/>
    <s v="CÉLIA JORDÃO"/>
    <m/>
    <d v="2025-10-23T00:00:00"/>
    <x v="0"/>
    <s v="VISTA DE CÉLIA JORDÃO EM 02-SET"/>
    <m/>
    <m/>
    <m/>
    <s v="&lt;a href='http://alerjln1.alerj.rj.gov.br/scpro2327.nsf/18c1dd68f96be3e7832566ec0018d833/265dfa1b080a9a6b032589bf005d4c2a?OpenDocument'&gt; LINK&lt;/a&gt;"/>
  </r>
  <r>
    <x v="0"/>
    <s v="2023"/>
    <s v="65/2023"/>
    <s v="INSTITUI O PROGRAMA ESTADUAL DE COMBATE À PSICOFOBIA NO ESTADO DO RIO DE JANEIRO."/>
    <s v="VERONICA LIMA"/>
    <x v="6"/>
    <x v="2"/>
    <s v="23/09/2025"/>
    <s v="6ªRE_x000a_02/09/2025"/>
    <m/>
    <m/>
    <d v="2025-08-12T00:00:00"/>
    <m/>
    <m/>
    <m/>
    <m/>
    <x v="0"/>
    <m/>
    <m/>
    <m/>
    <m/>
    <s v="http://alerjln1.alerj.rj.gov.br/scpro2327.nsf/18c1dd68f96be3e7832566ec0018d833/039591fa66cd6a0f032589490068568c?OpenDocument"/>
  </r>
  <r>
    <x v="0"/>
    <s v="2023"/>
    <s v="EP 682/2023"/>
    <s v="INSTITUI A CAMPANHA PERMANENTE DE ORIENTAÇÃO, COM AÇÕES PREVENTIVAS, CONSCIENTIZAÇÃO DA DEPRESSÃO, TRANSTORNO DE ANSIEDADE E SÍNDROME DO PÂNICO."/>
    <s v="BRAZAO"/>
    <x v="6"/>
    <x v="29"/>
    <s v="23/09/2025"/>
    <s v="6ªRE_x000a_02/09/2025"/>
    <d v="2025-09-02T00:00:00"/>
    <m/>
    <d v="2025-08-12T00:00:00"/>
    <m/>
    <m/>
    <m/>
    <m/>
    <x v="0"/>
    <m/>
    <m/>
    <m/>
    <m/>
    <s v="http://alerjln1.alerj.rj.gov.br/scpro2327.nsf/18c1dd68f96be3e7832566ec0018d833/a0d917e15e95711b0325898800694c26?OpenDocument"/>
  </r>
  <r>
    <x v="0"/>
    <s v="2023"/>
    <s v="962/2023"/>
    <s v="ALTERA A LEI Nº 9.894, DE 04 DE NOVEMBRO DE 2022, QUE DISPÕE SOBRE AS NORMAS DE CONCESSÃO E UTILIZAÇÃO DO CORDÃO DE GIRASSOL COMO SÍMBOLO DE IDENTIFICAÇÃO DAS PESSOAS COM DEFICIÊNCIAS OCULTAS NO ESTADO DO RIO DE JANEIRO E DÁ OUTRAS PROVIDÊNCIAS."/>
    <s v="OTONI DE PAULA PAI, India Armelau"/>
    <x v="6"/>
    <x v="2"/>
    <s v="22/09/2025"/>
    <s v="6ªRE_x000a_02/09/2025"/>
    <d v="2025-09-02T00:00:00"/>
    <m/>
    <d v="2025-08-12T00:00:00"/>
    <m/>
    <m/>
    <m/>
    <m/>
    <x v="0"/>
    <m/>
    <m/>
    <m/>
    <m/>
    <s v="&lt;a href='http://alerjln1.alerj.rj.gov.br/scpro2327.nsf/18c1dd68f96be3e7832566ec0018d833/279dac68a0ca0b6c032589aa005368f4?OpenDocument'&gt; LINK&lt;/a&gt;"/>
  </r>
  <r>
    <x v="0"/>
    <s v="2023"/>
    <s v="741/2023"/>
    <s v="DISPÕE SOBRE AS FORMAS DE PAGAMENTO PELOS SERVIÇOS PRESTADOS PELO DETRAN RJ E DÁ OUTRAS PROVIDÊNCIAS."/>
    <s v="VALDECY DA SAUDE"/>
    <x v="6"/>
    <x v="2"/>
    <s v="22/09/2025"/>
    <s v="6ªRE_x000a_02/09/2025"/>
    <d v="2025-09-02T00:00:00"/>
    <m/>
    <d v="2025-08-12T00:00:00"/>
    <m/>
    <m/>
    <m/>
    <m/>
    <x v="0"/>
    <m/>
    <m/>
    <m/>
    <m/>
    <s v="&lt;a href='http://alerjln1.alerj.rj.gov.br/scpro2327.nsf/18c1dd68f96be3e7832566ec0018d833/ef6267ba00867d5a0325898f005f046a?OpenDocument'&gt; LINK&lt;/a&gt;"/>
  </r>
  <r>
    <x v="0"/>
    <s v="2022"/>
    <s v="5320/2022"/>
    <s v="INSTITUI O PROGRAMA DE PROTEÇÃO AOS DIREITOS DAS CRIANÇAS E ADOLESCENTES NAS FESTAS POPULARES E CARNAVAL, NO ÂMBITO DO ESTADO DO RIO DE JANEIRO."/>
    <s v="VALDECY DA SAUDE"/>
    <x v="6"/>
    <x v="28"/>
    <s v="11/02/2026"/>
    <s v="8ªRE _x000a_16/12/2025"/>
    <d v="2025-09-02T00:00:00"/>
    <m/>
    <d v="2025-08-12T00:00:00"/>
    <d v="2026-03-18T00:00:00"/>
    <s v="CÉLIA JORDÃO"/>
    <s v="FAVORÁVEL COM SUBEMENDA À EMENDA MODIFICATIVA 01 E FAVORÁVEL À EMENDA 02"/>
    <d v="2025-10-23T00:00:00"/>
    <x v="0"/>
    <s v="VISTA DE CÉLIA JORDÃO EM 02-SET_x000a_APROVADO O VOTO DO VENCIDO"/>
    <m/>
    <m/>
    <m/>
    <s v="&lt;a href='http://alerjln1.alerj.rj.gov.br/scpro1923.nsf/18c1dd68f96be3e7832566ec0018d833/f09f6e282ee2bd5e032587dd00552a0e?OpenDocument'&gt; LINK&lt;/a&gt;"/>
  </r>
  <r>
    <x v="0"/>
    <s v="2019"/>
    <s v="543/2019"/>
    <s v="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
    <s v="ZEIDAN LULA"/>
    <x v="6"/>
    <x v="3"/>
    <s v="23/09/2025"/>
    <s v="6ªRE_x000a_02/09/2025"/>
    <d v="2025-09-02T00:00:00"/>
    <m/>
    <d v="2025-08-12T00:00:00"/>
    <m/>
    <m/>
    <m/>
    <m/>
    <x v="0"/>
    <m/>
    <m/>
    <m/>
    <m/>
    <s v="http://alerjln1.alerj.rj.gov.br/scpro1923.nsf/18c1dd68f96be3e7832566ec0018d833/b55698f7032a25aa832583fa0054dd40?OpenDocument"/>
  </r>
  <r>
    <x v="0"/>
    <s v="2023"/>
    <s v="1458/2023"/>
    <s v="DISPÕE SOBRE A PROIBIÇAO DE SE CONDICIONAR A LIGAÇÃO OU ALTERAÇÃO DA TITULARIDADE DO SERVIÇO DE ENERGIA ELÉTRICA E FORNECIMENTO DE GÁS E ÁGUA AO PAGAMENTO DE DÉBITO PENDENTE EM NOME DE TERCEIROS NO ÂMBITO DO ESTADO DO RIO DE JANEIRO E DA OUTRAS PROVIDÊNCIAS"/>
    <s v="RODRIGO BACELLAR"/>
    <x v="6"/>
    <x v="3"/>
    <s v="19/09/2025"/>
    <s v="6ªRE_x000a_02/09/2025"/>
    <d v="2025-09-02T00:00:00"/>
    <m/>
    <d v="2025-08-12T00:00:00"/>
    <m/>
    <m/>
    <m/>
    <m/>
    <x v="0"/>
    <m/>
    <m/>
    <m/>
    <m/>
    <s v="http://alerjln1.alerj.rj.gov.br/scpro2327.nsf/18c1dd68f96be3e7832566ec0018d833/2eba35be8b46633e032589db0062f4aa?OpenDocument"/>
  </r>
  <r>
    <x v="0"/>
    <s v="2021"/>
    <s v="4946/2021"/>
    <s v="VEDA O DESCONTO DE CONTRIBUIÇÃO SINDICAL NA FOLHA DE PAGAMENTO DE SERVIDORES PÚBLICOS NO ÂMBITO DO ESTADO DO RIO DE JANEIRO."/>
    <s v="RODRIGO AMORIM"/>
    <x v="6"/>
    <x v="24"/>
    <s v="19/09/2025"/>
    <s v="6ªRE_x000a_02/09/2025"/>
    <d v="2025-09-02T00:00:00"/>
    <m/>
    <d v="2025-08-12T00:00:00"/>
    <m/>
    <m/>
    <m/>
    <m/>
    <x v="0"/>
    <m/>
    <m/>
    <m/>
    <m/>
    <s v="&lt;a href='http://alerjln1.alerj.rj.gov.br/scpro1923.nsf/18c1dd68f96be3e7832566ec0018d833/3c2d0e50d76a2a8f032587600060d797?OpenDocument'&gt; LINK&lt;/a&gt;"/>
  </r>
  <r>
    <x v="0"/>
    <s v="2021"/>
    <s v="4947/2021"/>
    <s v="CRIA A CARTEIRA DE IDENTIFICAÇÃO DO AUTISTA - CIA, PARA A PESSOA COM TRANSTORNO DO ESPECTRO AUTISTA - TEA."/>
    <s v="RODRIGO AMORIM"/>
    <x v="6"/>
    <x v="30"/>
    <s v="23/09/2025"/>
    <s v="6ªRE_x000a_02/09/2025"/>
    <d v="2025-09-02T00:00:00"/>
    <m/>
    <d v="2025-08-12T00:00:00"/>
    <m/>
    <m/>
    <m/>
    <m/>
    <x v="0"/>
    <m/>
    <m/>
    <m/>
    <m/>
    <s v="&lt;a href='http://alerjln1.alerj.rj.gov.br/scpro1923.nsf/18c1dd68f96be3e7832566ec0018d833/1167605cdea3b28103258760005fdba1?OpenDocument'&gt; LINK&lt;/a&gt;"/>
  </r>
  <r>
    <x v="0"/>
    <s v="2024"/>
    <s v="3085/2024"/>
    <s v="INSTITUI O “PROGRAMA DE SAÚDE PET DA FAMÍLIA”, E DÁ OUTRAS PROVIDÊNCIAS."/>
    <s v="ANDERSON MORAES"/>
    <x v="1"/>
    <x v="2"/>
    <s v="20/02/2026"/>
    <s v="8ªRE _x000a_16/12/2025"/>
    <d v="2025-08-13T00:00:00"/>
    <d v="2025-08-27T00:00:00"/>
    <d v="2025-09-30T00:00:00"/>
    <d v="2026-02-23T00:00:00"/>
    <m/>
    <m/>
    <m/>
    <x v="0"/>
    <m/>
    <m/>
    <m/>
    <m/>
    <s v="&lt;a href='http://alerjln1.alerj.rj.gov.br/scpro2327.nsf/18c1dd68f96be3e7832566ec0018d833/9bc484b57938ec6e03258ad20044175f?OpenDocument'&gt; LINK&lt;/a&gt;"/>
  </r>
  <r>
    <x v="0"/>
    <s v="2023"/>
    <s v="520/2023"/>
    <s v="DISPÕE SOBRE A CRIAÇÃO DO CENTRO INTEGRADO DE MONITORAMENTO DE ESTRADAS E ENCOSTAS – CIMEE, NO ÂMBITO DO ESTADO DO RIO DE JANEIRO."/>
    <s v="GUILHERME DELAROLI"/>
    <x v="6"/>
    <x v="31"/>
    <s v="06/02/2026"/>
    <s v="8ªRE _x000a_16/12/2025"/>
    <d v="2025-08-13T00:00:00"/>
    <d v="2025-08-27T00:00:00"/>
    <d v="2025-12-02T00:00:00"/>
    <m/>
    <m/>
    <m/>
    <m/>
    <x v="1"/>
    <s v="com o PL 1360/2023 anexado"/>
    <m/>
    <m/>
    <m/>
    <s v="&lt;a href='http://alerjln1.alerj.rj.gov.br/scpro2327.nsf/18c1dd68f96be3e7832566ec0018d833/f6e244bff728d89e0325897a006cff57?OpenDocument'&gt; LINK&lt;/a&gt;"/>
  </r>
  <r>
    <x v="0"/>
    <s v="2020"/>
    <s v="3195/2020"/>
    <s v="REGULAMENTA OS ARTIGOS 268, I, II E IV DA CONSTITUIÇÃO ESTADUAL NO QUE CONCERNE AS ÁREAS DE PRESERVAÇÃO PERMANENTE DE RESTINGAS E MANGUEZAIS."/>
    <s v="CARLOS MINC"/>
    <x v="6"/>
    <x v="3"/>
    <s v="11/02/2026"/>
    <s v="8ªRE _x000a_16/12/2025"/>
    <d v="2025-08-13T00:00:00"/>
    <d v="2025-08-27T00:00:00"/>
    <d v="2025-12-02T00:00:00"/>
    <d v="2026-02-12T00:00:00"/>
    <m/>
    <m/>
    <m/>
    <x v="0"/>
    <m/>
    <m/>
    <m/>
    <m/>
    <s v="&lt;a href='http://alerjln1.alerj.rj.gov.br/scpro1923.nsf/18c1dd68f96be3e7832566ec0018d833/ee70c2104beb9cce032585fa00692b9a?OpenDocument'&gt; LINK&lt;/a&gt;"/>
  </r>
  <r>
    <x v="0"/>
    <s v="2019"/>
    <s v="1559/2019"/>
    <s v="TORNA OBRIGATÓRIA A PRESTAÇÃO DE COLABORAÇÃO À ESTABELECIMENTO PÚBLICO DE EDUCAÇÃO BÁSICA PELOS BENEFICIÁRIOS DE BOLSA DE ESTUDO"/>
    <s v="RODRIGO BACELLAR"/>
    <x v="6"/>
    <x v="32"/>
    <s v="23/12/2025"/>
    <s v="8ªRE _x000a_16/12/2025"/>
    <d v="2025-08-13T00:00:00"/>
    <d v="2025-08-27T00:00:00"/>
    <d v="2025-12-02T00:00:00"/>
    <m/>
    <m/>
    <m/>
    <m/>
    <x v="1"/>
    <m/>
    <m/>
    <m/>
    <m/>
    <s v="&lt;a href='http://alerjln1.alerj.rj.gov.br/scpro1923.nsf/18c1dd68f96be3e7832566ec0018d833/cfac07559150b568832584a900517878?OpenDocument'&gt; LINK&lt;/a&gt;"/>
  </r>
  <r>
    <x v="0"/>
    <s v="2023"/>
    <s v="157/2023"/>
    <s v="DISPÕE SOBRE O RESSARCIMENTO EM DOBRO EM CASO DE COBRANÇA INDEVIDA AO CONSUMIDOR POR RESTAURANTES, LANCHONETES, BARES, BOATES E SIMILARES NO ÂMBITO DO ESTADO DO RIO DE JANEIRO."/>
    <s v="MÁRCIO CANELLA"/>
    <x v="6"/>
    <x v="6"/>
    <m/>
    <m/>
    <d v="2025-08-13T00:00:00"/>
    <d v="2025-08-27T00:00:00"/>
    <m/>
    <m/>
    <m/>
    <m/>
    <m/>
    <x v="3"/>
    <m/>
    <m/>
    <m/>
    <m/>
    <s v="&lt;a href='http://alerjln1.alerj.rj.gov.br/scpro2327.nsf/18c1dd68f96be3e7832566ec0018d833/1e873a828f5512cd0325894f0054a2d5?OpenDocument'&gt; LINK&lt;/a&gt;"/>
  </r>
  <r>
    <x v="0"/>
    <s v="2022"/>
    <s v="6265/2022"/>
    <s v="PROÍBE ACESSO DE CRIANÇAS E ADOLESCENTES A ESTABELECIMENTOS QUE COMERCIALIZEM PRODUTOS COM CONOTAÇÃO SEXUAL OU ERÓTICA, E DÁ OUTRAS PROVIDÊNCIAS."/>
    <s v="RODRIGO AMORIM"/>
    <x v="2"/>
    <x v="3"/>
    <s v="26/02/2026"/>
    <s v="8ªRE _x000a_16/12/2025"/>
    <d v="2025-08-13T00:00:00"/>
    <d v="2025-08-27T00:00:00"/>
    <d v="2025-09-30T00:00:00"/>
    <m/>
    <m/>
    <m/>
    <m/>
    <x v="1"/>
    <m/>
    <m/>
    <m/>
    <m/>
    <s v="&lt;a href='http://alerjln1.alerj.rj.gov.br/scpro1923.nsf/18c1dd68f96be3e7832566ec0018d833/3e63a676ec47da5e0325889900562a8e?OpenDocument'&gt; LINK&lt;/a&gt;"/>
  </r>
  <r>
    <x v="0"/>
    <s v="2023"/>
    <s v="1558/2023"/>
    <s v="DISPÕE SOBRE A IMPLANTAÇÃO DAS SALAS DE APOIO AO ALEITAMENTO MATERNO JUNTO AS UNIDADES BÁSICAS DE SAÚDE, NO ÂMBITO DO ESTADO DO RIO DE JANEIRO."/>
    <s v="ROSENVERG REIS"/>
    <x v="8"/>
    <x v="33"/>
    <s v="23/09/2025"/>
    <s v="6ªRE_x000a_02/09/2025"/>
    <m/>
    <m/>
    <d v="2025-08-13T00:00:00"/>
    <m/>
    <m/>
    <m/>
    <m/>
    <x v="0"/>
    <m/>
    <m/>
    <m/>
    <m/>
    <s v="http://alerjln1.alerj.rj.gov.br/scpro2327.nsf/18c1dd68f96be3e7832566ec0018d833/0b9cba3bc54e0d42032589fe0054dc36?OpenDocument"/>
  </r>
  <r>
    <x v="0"/>
    <s v="2015"/>
    <s v="EP 1200/2015"/>
    <s v="AUTORIZA O PODER EXECUTIVO A CRIAR O NÚCLEO EDUCACIONAL DE PREVENÇÃO E COMBATE AO CONSUMO DE DROGAS NA REDE ESTADUAL DE EDUCAÇÃO DO RIO DE JANEIRO."/>
    <s v="COMISSÃO PARLAMENTAR DE INQUÉRITO INSTITUÍDA PELA RESOLUÇÃO Nº 03/2015"/>
    <x v="0"/>
    <x v="34"/>
    <s v="11/02/2026"/>
    <s v="8ªRE _x000a_16/12/2025"/>
    <d v="2025-09-02T00:00:00"/>
    <m/>
    <d v="2025-08-13T00:00:00"/>
    <d v="2026-03-05T00:00:00"/>
    <s v="CÉLIA JORDÃO"/>
    <s v="FAVORÁVEL COM SUBEMENDA À EMENDA 02, FAVORÁVEL ÀS EMENDAS 01, 03 E 05, CONTRÁRIO À EMENDA 04"/>
    <d v="2025-10-23T00:00:00"/>
    <x v="0"/>
    <s v="VISTA DE CÉLIA JORDÃO EM 02-SET_x000a_ANDRÉ ACATOU AS EMENDAS DA CÉLIA"/>
    <m/>
    <m/>
    <m/>
    <s v="&lt;a href='http://alerjln1.alerj.rj.gov.br/scpro1519.nsf/18c1dd68f96be3e7832566ec0018d833/a9850cec7d4eb49b83257f0e0041a13d?OpenDocument'&gt; LINK&lt;/a&gt;"/>
  </r>
  <r>
    <x v="0"/>
    <s v="2011"/>
    <s v="EP 326/2011"/>
    <s v="TORNA OBRIGATÓRIO O PLANEJAMENTO PRÉVIO E EFETIVO TREINAMENTO PARA EVACUAÇÕES EMERGENCIAIS NA REDE DE ENSINO PÚBLICO E PARTICULAR DO ESTADO DO RIO DE JANEIRO."/>
    <s v="ÁTILA NUNES"/>
    <x v="0"/>
    <x v="3"/>
    <s v="27/02/2026"/>
    <s v="8ªRE _x000a_16/12/2025"/>
    <m/>
    <m/>
    <d v="2025-08-14T00:00:00"/>
    <d v="2026-03-04T00:00:00"/>
    <s v="CÉLIA JORDÃO"/>
    <s v="FAVORÁVEL, COM EMENDAS"/>
    <d v="2025-10-23T00:00:00"/>
    <x v="0"/>
    <s v="VISTA DE CÉLIA JORDÃO EM 02-SET_x000a_ANDRÉ ACATOU AS EMENDAS DA CÉLIA_x000a_25-02-2026: Foi verificado que ambos os pareceres foram ao Projeto e não à Emenda. Vou precisar republicar (publicado primeiramente em 11/02/2026)_x000a_Entregue a Carla Scofano em 04/03 com a nova conclusão"/>
    <m/>
    <m/>
    <m/>
    <s v="&lt;a href='http://alerjln1.alerj.rj.gov.br/scpro1115.nsf/18c1dd68f96be3e7832566ec0018d833/ee4cffbc56458931832578720050f60d?OpenDocument'&gt; LINK&lt;/a&gt;"/>
  </r>
  <r>
    <x v="0"/>
    <s v="2012"/>
    <s v="EP 1417/2012"/>
    <s v="DISPÕE SOBRE A CRIAÇÃO DO “PROJETO GRAFITARTE” PARA UTILIZAÇÃO EM VIADUTOS, MUROS E PAREDES DE EQUIPAMENTOS PÚBLICOS NO ESTADO DO RIO DE _x0009_JANEIRO"/>
    <s v="ENFERMEIRA REJANE"/>
    <x v="10"/>
    <x v="35"/>
    <s v="11/02/2026"/>
    <s v="8ªRE _x000a_16/12/2025"/>
    <m/>
    <m/>
    <d v="2025-08-14T00:00:00"/>
    <d v="2026-03-05T00:00:00"/>
    <s v="CÉLIA JORDÃO"/>
    <s v="FAVORÁVEL COM SUBEMENDA À EMENDA MODIFICATIVA 01 E FAVORÁVEL À EMENDA 02"/>
    <d v="2025-10-23T00:00:00"/>
    <x v="0"/>
    <s v="VISTA DE CÉLIA JORDÃO EM 02-SET_x000a_ANDRÉ ACATOU AS EMENDAS DA CÉLIA"/>
    <m/>
    <m/>
    <m/>
    <s v="&lt;a href='http://alerjln1.alerj.rj.gov.br/scpro1115.nsf/18c1dd68f96be3e7832566ec0018d833/55dc66a9f10618a9832579d1005a68b8?OpenDocument'&gt; LINK&lt;/a&gt;"/>
  </r>
  <r>
    <x v="0"/>
    <s v="2018"/>
    <s v="EP 4510/2018"/>
    <s v="DISPÕE SOBRE A CRIAÇÃO DE PROGRAMA DE PREVENÇÃO DA SAÚDE DA DOENÇA DE FABRY, DOENÇA DE ANDERSON-FABRY OU DEFICIÊNCIA DE ALFA-GALACTOSIDASE A, NO ÂMBITO DO ESTADO DO RIO DE JANEIRO."/>
    <s v="ÁTILA NUNES"/>
    <x v="0"/>
    <x v="36"/>
    <s v="22/09/2025"/>
    <s v="6ªRE_x000a_02/09/2025"/>
    <m/>
    <m/>
    <d v="2025-08-14T00:00:00"/>
    <m/>
    <m/>
    <m/>
    <m/>
    <x v="0"/>
    <s v="publicado em 18/09/2025 e republicado no dia 22/09/2025"/>
    <m/>
    <m/>
    <m/>
    <s v="&lt;a href='http://alerjln1.alerj.rj.gov.br/scpro1519.nsf/18c1dd68f96be3e7832566ec0018d833/37d0902c51c794da0325835b0059ff26?OpenDocument'&gt; LINK&lt;/a&gt;"/>
  </r>
  <r>
    <x v="0"/>
    <s v="2015"/>
    <s v="EP 419/2015"/>
    <s v="DISPÕE SOBRE A OBRIGATORIEDADE DE INCLUSÃO, EM UM PERCENTUAL MÍNIMO DE 10% (DEZ POR CENTO), DE ALIMENTOS ORGÂNICOS NA MERENDA FORNECIDA PELAS ESCOLAS DA REDE PÚBLICA ESTADUAL NO ÂMBITO DO ESTADO DO RIO DE JANEIRO."/>
    <s v="ANA PAULA RECHUAN,EDSON ALBERTASSI,SAMUEL MALAFAIA,TANIA RODRIGUES"/>
    <x v="0"/>
    <x v="3"/>
    <m/>
    <s v="8ªRE _x000a_16/12/2025"/>
    <d v="2025-08-14T00:00:00"/>
    <m/>
    <d v="2025-08-14T00:00:00"/>
    <m/>
    <m/>
    <m/>
    <m/>
    <x v="1"/>
    <s v="Parecer estava incorreto, então foi retirado da pauta da 6ªRE de 02-09-2025"/>
    <m/>
    <m/>
    <m/>
    <s v="&lt;a href='http://alerjln1.alerj.rj.gov.br/scpro1519.nsf/18c1dd68f96be3e7832566ec0018d833/fb62e7c956314c8e83257e45004ce48d?OpenDocument'&gt; LINK&lt;/a&gt;"/>
  </r>
  <r>
    <x v="0"/>
    <s v="2020"/>
    <s v="EP 3052/2020"/>
    <s v="DISPÕE SOBRE A DIVULGAÇÃO, MEDIANTE INFORMATIVOS AFIXADOS EM SALÕES DE CABELEIREIROS, DOS PROGRAMAS DE DOAÇÃO DE CABELOS PARA PACIENTES EM TRATAMENTO DE CÂNCER."/>
    <s v="DR DEODALTO"/>
    <x v="0"/>
    <x v="37"/>
    <s v="11/02/2026"/>
    <s v="8ªRE _x000a_16/12/2025"/>
    <d v="2025-08-14T00:00:00"/>
    <m/>
    <d v="2025-08-14T00:00:00"/>
    <d v="2026-03-05T00:00:00"/>
    <s v="CÉLIA JORDÃO"/>
    <s v="FAVORÁVEL ÀS EMENDAS 01, 02, 03 E 05; PREJUDICADA À EMENDA 06 PELA EMENDA 01 E CONTRÁRIO À EMENDA 04"/>
    <d v="2025-10-23T00:00:00"/>
    <x v="0"/>
    <s v="VISTA DE CÉLIA JORDÃO EM 02-SET_x000a_ANDRÉ ACATOU AS EMENDAS DA CÉLIA"/>
    <m/>
    <m/>
    <m/>
    <s v="&lt;a href='http://alerjln1.alerj.rj.gov.br/scpro1923.nsf/18c1dd68f96be3e7832566ec0018d833/df60931681f8a753032585d000613eca?OpenDocument'&gt; LINK&lt;/a&gt;"/>
  </r>
  <r>
    <x v="0"/>
    <s v="2022"/>
    <s v="6149/2022"/>
    <s v="CRIA O PROGRAMA ESTADUAL DE INCENTIVO À PESQUISA DA ANCESTRALIDADE AFRICANA E INDÍGENA"/>
    <s v="CARLOS MINC"/>
    <x v="0"/>
    <x v="3"/>
    <s v="27/02/2026"/>
    <s v="1ªRE _x000a_24/02/2026"/>
    <d v="2025-08-14T00:00:00"/>
    <d v="2025-02-11T00:00:00"/>
    <m/>
    <s v="27/02/2026"/>
    <m/>
    <m/>
    <m/>
    <x v="0"/>
    <s v="ALEXANDRE KNOPLOCH (EM 27/08/2025) / ANDRÉ AVOCOU EM 11-02"/>
    <m/>
    <m/>
    <m/>
    <s v="&lt;a href='http://alerjln1.alerj.rj.gov.br/scpro1923.nsf/18c1dd68f96be3e7832566ec0018d833/58c06d580e4da27703258871005e6247?OpenDocument'&gt; LINK&lt;/a&gt;"/>
  </r>
  <r>
    <x v="0"/>
    <s v="2023"/>
    <s v="71/2023"/>
    <s v="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
    <s v="VERONICA LIMA"/>
    <x v="8"/>
    <x v="6"/>
    <m/>
    <m/>
    <d v="2025-08-14T00:00:00"/>
    <d v="2025-08-27T00:00:00"/>
    <m/>
    <m/>
    <m/>
    <m/>
    <m/>
    <x v="3"/>
    <m/>
    <m/>
    <m/>
    <m/>
    <s v="&lt;a href='http://alerjln1.alerj.rj.gov.br/scpro2327.nsf/18c1dd68f96be3e7832566ec0018d833/b865dadfc7cd531d032589490065ae01?OpenDocument'&gt; LINK&lt;/a&gt;"/>
  </r>
  <r>
    <x v="0"/>
    <s v="2023"/>
    <s v="433/2023"/>
    <s v="ALTERA A LEI Nº 5.848, DE 28 DE DEZEMBRO DE 2010, PARA CRIAR O PROGRAMA DE FONOAUDIOLOGIA EDUCACIONAL &quot;DESTRAVA LÍNGUA&quot; NA REDE DE ENSINO PÚBLICA E PRIVADA  DO ESTADO DO RIO DE JANEIRO."/>
    <s v="MÁRCIO CANELLA"/>
    <x v="3"/>
    <x v="6"/>
    <m/>
    <m/>
    <d v="2025-08-14T00:00:00"/>
    <d v="2025-08-27T00:00:00"/>
    <m/>
    <m/>
    <m/>
    <m/>
    <m/>
    <x v="3"/>
    <m/>
    <m/>
    <m/>
    <m/>
    <s v="&lt;a href='http://alerjln1.alerj.rj.gov.br/scpro2327.nsf/18c1dd68f96be3e7832566ec0018d833/dcb887548393677203258972005de18c?OpenDocument'&gt; LINK&lt;/a&gt;"/>
  </r>
  <r>
    <x v="0"/>
    <s v="2023"/>
    <s v="2012/2023"/>
    <s v="ALTERA A LEI 5.645, DE 06 DE JANEIRO DE 2010, PARA INCLUIR NO CALENDÁRIO DO ESTADO DO RIO DE JANEIRO, A SEMANA ESTADUAL EM CELEBRAÇÃO E DEFESA DAS UNIVERSIDADES PÚBLICAS ESTADUAIS DO ESTADO DO RIO DE JANEIRO."/>
    <s v="MARINA DO MST"/>
    <x v="8"/>
    <x v="23"/>
    <s v="20/02/2026"/>
    <s v="8ªRE _x000a_16/12/2025"/>
    <d v="2025-08-14T00:00:00"/>
    <d v="2025-08-27T00:00:00"/>
    <d v="2025-11-18T00:00:00"/>
    <d v="2026-02-23T00:00:00"/>
    <m/>
    <m/>
    <m/>
    <x v="0"/>
    <m/>
    <m/>
    <m/>
    <m/>
    <s v="&lt;a href='http://alerjln1.alerj.rj.gov.br/scpro2327.nsf/18c1dd68f96be3e7832566ec0018d833/ac4836eee81931ef03258a28004dc6db?OpenDocument'&gt; LINK&lt;/a&gt;"/>
  </r>
  <r>
    <x v="0"/>
    <s v="2024"/>
    <s v="2975/2024"/>
    <s v="INSTITUI O BALCÃO VIRTUAL NOS ÓRGÃOS PÚBLICOS DO ESTADO DO RIO DE JANEIRO, COM A INTERAÇÃO POR VIDEOCONFERÊNCIA DO ENTE PÚBLICO E USUÁRIOS PARTICULARES"/>
    <s v="ELTON CRISTO"/>
    <x v="7"/>
    <x v="2"/>
    <s v="27/02/2026"/>
    <s v="1ªRE _x000a_24/02/2026"/>
    <d v="2025-08-14T00:00:00"/>
    <d v="2025-08-27T00:00:00"/>
    <d v="2026-02-12T00:00:00"/>
    <s v="27/02/2026"/>
    <m/>
    <m/>
    <m/>
    <x v="0"/>
    <m/>
    <m/>
    <m/>
    <m/>
    <s v="&lt;a href='http://alerjln1.alerj.rj.gov.br/scpro2327.nsf/18c1dd68f96be3e7832566ec0018d833/0dff21b9d1e8b83b03258ac9006594b8?OpenDocument'&gt; LINK&lt;/a&gt;"/>
  </r>
  <r>
    <x v="0"/>
    <s v="2019"/>
    <s v="1643/2019"/>
    <s v="INSTITUI A OUVIDORIA ESPECIAL SOBRE VIOLÊNCIA OBSTÉTRICA NO ÂMBITO DO ESTADO DO RIO DE JANEIRO E DÁ OUTRAS PROVIDÊNCIAS"/>
    <s v="COMISSÃO PARLAMENTAR DE INQUÉRITO INSTITUÍDA PELA RESOLUÇÃO Nº 05/2019"/>
    <x v="3"/>
    <x v="3"/>
    <m/>
    <s v="PRÓXIMA"/>
    <d v="2025-08-14T00:00:00"/>
    <d v="2025-08-27T00:00:00"/>
    <d v="2026-03-30T00:00:00"/>
    <m/>
    <m/>
    <m/>
    <m/>
    <x v="1"/>
    <m/>
    <m/>
    <m/>
    <m/>
    <s v="&lt;a href='http://alerjln1.alerj.rj.gov.br/scpro1923.nsf/18c1dd68f96be3e7832566ec0018d833/5307dcb1aa64d485832584b000662086?OpenDocument'&gt; LINK&lt;/a&gt;"/>
  </r>
  <r>
    <x v="0"/>
    <s v="2020"/>
    <s v="3371/2020"/>
    <s v="INSTITUI A POLÍTICA ESTADUAL DE ATENÇÃO À ONCOLOGIA PEDIÁTRICA NO ÂMBITO DO ESTADO DO RIO DE JANEIRO."/>
    <s v="DANNIEL LIBRELON"/>
    <x v="7"/>
    <x v="24"/>
    <s v="20/02/2026"/>
    <s v="8ªRE _x000a_16/12/2025"/>
    <d v="2025-08-14T00:00:00"/>
    <d v="2025-08-27T00:00:00"/>
    <d v="2025-11-27T00:00:00"/>
    <d v="2026-02-23T00:00:00"/>
    <m/>
    <m/>
    <m/>
    <x v="0"/>
    <m/>
    <m/>
    <m/>
    <m/>
    <s v="&lt;a href='http://alerjln1.alerj.rj.gov.br/scpro1923.nsf/18c1dd68f96be3e7832566ec0018d833/42d7dca1ac36105a0325862c005bd370?OpenDocument'&gt; LINK&lt;/a&gt;"/>
  </r>
  <r>
    <x v="0"/>
    <s v="2023"/>
    <s v="1071/2023"/>
    <s v="DISPÕE SOBRE A IMPLANTAÇÃO DO SERVIÇO DE ATENDIMENTO MÓVEL OFTALMOLÓGICO NO ÂMBITO DOS ESTABELECIMENTOS PÚBLICOS DE ENSINO DO ESTADO DO RIO DE JANEIRO."/>
    <s v="ROSENVERG REIS"/>
    <x v="3"/>
    <x v="3"/>
    <s v="19/09/2025"/>
    <s v="6ªRE_x000a_02/09/2025"/>
    <d v="2025-08-18T00:00:00"/>
    <m/>
    <d v="2025-08-18T00:00:00"/>
    <m/>
    <m/>
    <m/>
    <m/>
    <x v="0"/>
    <m/>
    <m/>
    <m/>
    <m/>
    <s v="&lt;a href='http://alerjln1.alerj.rj.gov.br/scpro2327.nsf/18c1dd68f96be3e7832566ec0018d833/3fd6369b62453fef032589b1004e19db?OpenDocument'&gt; LINK&lt;/a&gt;"/>
  </r>
  <r>
    <x v="0"/>
    <s v="2023"/>
    <s v="1524/2023"/>
    <s v="DISPÕE SOBRE A INCLUSÃO DOS ACOMETIDOS DA SÍNDROME DE TOURETTE NA CONDIÇÃO DE PESSOAS COM DEFICIÊNCIA."/>
    <s v="ROSENVERG REIS"/>
    <x v="4"/>
    <x v="6"/>
    <m/>
    <m/>
    <d v="2025-08-18T00:00:00"/>
    <d v="2025-08-27T00:00:00"/>
    <m/>
    <m/>
    <m/>
    <m/>
    <m/>
    <x v="1"/>
    <s v="Estava com LUIZ PAULO mas peguei porque o mesmo saiu da Comissão (18/05/2026)"/>
    <m/>
    <m/>
    <m/>
    <s v="&lt;a href='http://alerjln1.alerj.rj.gov.br/scpro2327.nsf/18c1dd68f96be3e7832566ec0018d833/825b93a1105f9365032589dd00620a4c?OpenDocument'&gt; LINK&lt;/a&gt;"/>
  </r>
  <r>
    <x v="0"/>
    <s v="2023"/>
    <s v="1674/2023"/>
    <s v="AUTORIZA O PODER EXECUTIVO A CONSIDERAR A CAPACITAÇÃO EM LÍNGUA BRASILEIRA DE SINAIS - LIBRAS - COMO CRITÉRIO DE DESEMPATE PARA CONCURSOS PÚBLICOS E PROCESSOS SELETIVOS SIMPLIFICADOS NO ÂMBITO DO ESTADO DO RIO DE JANEIRO"/>
    <s v="ELIKA TAKIMOTO"/>
    <x v="3"/>
    <x v="24"/>
    <m/>
    <s v="N/A"/>
    <d v="2025-08-18T00:00:00"/>
    <d v="2025-08-27T00:00:00"/>
    <d v="2025-10-08T00:00:00"/>
    <d v="2025-12-02T00:00:00"/>
    <m/>
    <m/>
    <m/>
    <x v="0"/>
    <s v="FOI A PLENÁRIO EM 03/12/2025"/>
    <m/>
    <m/>
    <m/>
    <s v="&lt;a href='http://alerjln1.alerj.rj.gov.br/scpro2327.nsf/18c1dd68f96be3e7832566ec0018d833/7e40a92a3a60148f03258a0100750d8b?OpenDocument'&gt; LINK&lt;/a&gt;"/>
  </r>
  <r>
    <x v="0"/>
    <s v="2023"/>
    <s v="380/2023"/>
    <s v="FICA CRIADO O PROGRAMA DE EDUCAÇÃO E CAPACITAÇÃO PERMANENTE DOS SERVIDORES E DEMAIS PROFISSIONAIS DO SISTEMA ÚNICO DE SAÚDE (SUS) SOBRE A PRESCRIÇÃO E O USO MEDICINAL DA CANNABIS NO ESTADO DO RIO DE JANEIRO"/>
    <s v="CARLOS MINC"/>
    <x v="7"/>
    <x v="23"/>
    <s v="07/01/2026"/>
    <s v="8ªRE _x000a_16/12/2025"/>
    <d v="2025-08-25T00:00:00"/>
    <d v="2025-08-27T00:00:00"/>
    <d v="2025-11-27T00:00:00"/>
    <m/>
    <m/>
    <m/>
    <m/>
    <x v="1"/>
    <m/>
    <m/>
    <m/>
    <m/>
    <s v="&lt;a href='http://alerjln1.alerj.rj.gov.br/scpro2327.nsf/18c1dd68f96be3e7832566ec0018d833/7976bf29db3b1c2b0325896b006f4b6c?OpenDocument'&gt; LINK&lt;/a&gt;"/>
  </r>
  <r>
    <x v="2"/>
    <s v="2022"/>
    <s v="6416/2022"/>
    <s v="DISPÕE SOBRE A ISENÇÃO DO IMPOSTO SOBRE A PROPRIEDADE DE VEÍCULOS AUTOMOTORES TERRESTRES - IPVA PARA VEÍCULOS QUE ATUAM NO TRANSPORTE PRIVADO ATRAVÉS DE APLICATIVOS NO ÂMBITO DO ESTADO DO RIO DE JANEIRO."/>
    <s v="ROSENVERG REIS"/>
    <x v="4"/>
    <x v="6"/>
    <m/>
    <m/>
    <d v="2025-08-25T00:00:00"/>
    <m/>
    <m/>
    <m/>
    <m/>
    <m/>
    <m/>
    <x v="1"/>
    <m/>
    <s v="4392/2021"/>
    <m/>
    <m/>
    <s v="&lt;a href='http://alerjln1.alerj.rj.gov.br/scpro1923.nsf/18c1dd68f96be3e7832566ec0018d833/2f660f866712ffe0032588d10067ffa3?OpenDocument'&gt; LINK&lt;/a&gt;"/>
  </r>
  <r>
    <x v="0"/>
    <s v="2020"/>
    <s v="3226/2020"/>
    <s v="INSTITUI O PROGRAMA DE PROTEÇÃO A AGENTE DE SEGURANÇA PÚBLICA GESTANTE, NO ÂMBITO DO ESTADO DO RIO DE JANEIRO."/>
    <s v="ROSENVERG REIS"/>
    <x v="11"/>
    <x v="6"/>
    <m/>
    <m/>
    <d v="2025-08-26T00:00:00"/>
    <d v="2026-05-26T00:00:00"/>
    <m/>
    <m/>
    <m/>
    <m/>
    <m/>
    <x v="1"/>
    <s v="processos apensados: 1032/2023 e 3177/2024 e 860/2023_x000a_Retirei do gab. Do relator Vinícius Cozzolino, relatoria em 27/08/2025, pois mudou a composição da Com."/>
    <m/>
    <m/>
    <m/>
    <s v="&lt;a href='http://alerjln1.alerj.rj.gov.br/scpro1923.nsf/18c1dd68f96be3e7832566ec0018d833/0cdfe7d82eff864e03258607005ebd55?OpenDocument'&gt; LINK&lt;/a&gt;"/>
  </r>
  <r>
    <x v="0"/>
    <s v="2022"/>
    <s v="5604/2022"/>
    <s v="DISPÕE SOBRE O ATENDIMENTO OBRIGATÓRIO E INTEGRAL DE PESSOAS EM SITUAÇÃO DE VIOLÊNCIA SEXUAL E DÁ OUTRAS PROVIDÊNCIAS"/>
    <s v="ZEIDAN"/>
    <x v="8"/>
    <x v="23"/>
    <s v="20/02/2026"/>
    <s v="8ªRE _x000a_16/12/2025"/>
    <d v="2025-08-26T00:00:00"/>
    <d v="2025-08-27T00:00:00"/>
    <d v="2025-11-18T00:00:00"/>
    <d v="2026-02-23T00:00:00"/>
    <m/>
    <m/>
    <m/>
    <x v="0"/>
    <m/>
    <m/>
    <m/>
    <m/>
    <s v="&lt;a href='http://alerjln1.alerj.rj.gov.br/scpro1923.nsf/18c1dd68f96be3e7832566ec0018d833/9794f8169f2c7083032588070060027c?OpenDocument'&gt; LINK&lt;/a&gt;"/>
  </r>
  <r>
    <x v="0"/>
    <s v="2023"/>
    <s v="667/2023"/>
    <s v="ALTERA A LEI ESTADUAL Nº 9658/2022 QUE INSTITUI A CAMPANHA DE CONSCIENTIZAÇÃO E COMBATE À VIOLÊNCIA PSICOLÓGICA PRATICADA CONTRA A MULHER PARA INSERIR O COMBATE AO CRIME DE (STALKING) PERSEGUIÇÃO À MULHER"/>
    <s v="ELIKA TAKIMOTO, Dani Monteiro"/>
    <x v="3"/>
    <x v="3"/>
    <s v="20/02/2026"/>
    <s v="8ªRE _x000a_16/12/2025"/>
    <d v="2025-08-26T00:00:00"/>
    <d v="2025-08-27T00:00:00"/>
    <d v="2025-10-16T00:00:00"/>
    <d v="2026-02-23T00:00:00"/>
    <m/>
    <m/>
    <m/>
    <x v="0"/>
    <m/>
    <m/>
    <m/>
    <m/>
    <s v="&lt;a href='http://alerjln1.alerj.rj.gov.br/scpro2327.nsf/18c1dd68f96be3e7832566ec0018d833/b161d94f975fdb3a03258988005a05cd?OpenDocument'&gt; LINK&lt;/a&gt;"/>
  </r>
  <r>
    <x v="0"/>
    <s v="2023"/>
    <s v="709/2023"/>
    <s v="OBRIGA O PODER EXECUTIVO À IMPLEMENTAÇÃO DE PORTARIA ESCOLAR EM TODAS AS UNIDADES ESCOLARES DA REDE ESTADUAL DE ENSINO DO ESTADO DO RIO DE JANEIRO."/>
    <s v="VINICIUS COZZOLINO"/>
    <x v="2"/>
    <x v="3"/>
    <s v="20/02/2026"/>
    <s v="8ªRE _x000a_16/12/2025"/>
    <d v="2025-08-26T00:00:00"/>
    <d v="2025-08-27T00:00:00"/>
    <d v="2025-08-29T00:00:00"/>
    <d v="2026-02-23T00:00:00"/>
    <m/>
    <m/>
    <m/>
    <x v="0"/>
    <m/>
    <m/>
    <m/>
    <m/>
    <s v="&lt;a href='http://alerjln1.alerj.rj.gov.br/scpro2327.nsf/18c1dd68f96be3e7832566ec0018d833/38bbf1bc10d6a2120325898e0061a34e?OpenDocument'&gt; LINK&lt;/a&gt;"/>
  </r>
  <r>
    <x v="0"/>
    <s v="2023"/>
    <s v="981/2023"/>
    <s v="OBRIGA AS UNIDADES BÁSICAS DE SAÚDE, OS POSTOS DE PRONTO ATENDIMENTO, AS UNIDADES PRÉ-HOSPITALARES, OS AMBULATÓRIOS, OS HOSPITAIS PÚBLICOS E CONVENIADOS DO SUS A REALIZAREM PESQUISA EM BANCOS DE DADOS DO GOVERNO NO MOMENTO DE REALIZAÇÃO DO CADASTRO DO PACIENTE."/>
    <s v="CARLINHOS BNH"/>
    <x v="2"/>
    <x v="3"/>
    <s v="20/02/2026"/>
    <s v="8ªRE _x000a_16/12/2025"/>
    <d v="2025-08-26T00:00:00"/>
    <d v="2025-08-27T00:00:00"/>
    <d v="2025-08-29T00:00:00"/>
    <d v="2026-02-23T00:00:00"/>
    <m/>
    <m/>
    <m/>
    <x v="0"/>
    <m/>
    <m/>
    <m/>
    <m/>
    <s v="&lt;a href='http://alerjln1.alerj.rj.gov.br/scpro2327.nsf/18c1dd68f96be3e7832566ec0018d833/6e59849a734dbf0a032589ab005cf262?OpenDocument'&gt; LINK&lt;/a&gt;"/>
  </r>
  <r>
    <x v="0"/>
    <s v="2023"/>
    <s v="1093/2023"/>
    <s v="ALTERA A LEI Nº 7538 DE 27 DE MARÇO DE 2017, QUE “DISPÕE SOBRE A APLICAÇÃO DE MEDIDA COERCITIVA ADMINISTRATIVA AO AGRESSOR PARA COIBIR E PREVENIR A VIOLÊNCIA DOMÉSTICA E FAMILIAR CONTRA A MULHER, NO ÂMBITO DO ESTADO DO RIO DE JANEIRO, NA FORMA QUE MENCIONA”."/>
    <s v="JULIO ROCHA"/>
    <x v="1"/>
    <x v="2"/>
    <s v="FOI A PLENÁRIO"/>
    <s v="8ªRE _x000a_16/12/2025"/>
    <d v="2025-08-26T00:00:00"/>
    <d v="2025-08-27T00:00:00"/>
    <d v="2025-10-02T00:00:00"/>
    <m/>
    <m/>
    <m/>
    <m/>
    <x v="0"/>
    <s v="FOI A PLENÁRIO - RETIRADO EM 02/FEV/2026"/>
    <m/>
    <m/>
    <m/>
    <s v="&lt;a href='http://alerjln1.alerj.rj.gov.br/scpro2327.nsf/18c1dd68f96be3e7832566ec0018d833/07b141626e2e0f2c032589b3004f194e?OpenDocument'&gt; LINK&lt;/a&gt;"/>
  </r>
  <r>
    <x v="0"/>
    <s v="2023"/>
    <s v="1414/2023"/>
    <s v="AUTORIZA A CRIAÇÃO DE MECANISMOS PARA COIBIR A VIOLÊNCIA DOMÉSTICA E FAMILIAR CONTRA A MULHER, ESTABELECENDO A POSSIBILIDADE DE MONITORAMENTO ELETRÔNICO E DA OUTRAS PROVIDÊNCIAS."/>
    <s v="ZEIDAN"/>
    <x v="8"/>
    <x v="6"/>
    <m/>
    <m/>
    <d v="2025-08-26T00:00:00"/>
    <d v="2025-08-27T00:00:00"/>
    <m/>
    <m/>
    <m/>
    <m/>
    <m/>
    <x v="3"/>
    <m/>
    <m/>
    <m/>
    <m/>
    <s v="&lt;a href='http://alerjln1.alerj.rj.gov.br/scpro2327.nsf/18c1dd68f96be3e7832566ec0018d833/5400dbe7d47c0a4a032589d6006c5f9f?OpenDocument'&gt; LINK&lt;/a&gt;"/>
  </r>
  <r>
    <x v="0"/>
    <s v="2023"/>
    <s v="2734/2023"/>
    <s v="INSTITUI O PROGRAMA DE CURSOS PROFISSIONALIZANTES DA CULTURA HIP HOP NAS UNIDADES DO DEPARTAMENTO GERAL DE AÇÕES SOCIOEDUCATIVAS - DEGASE."/>
    <s v="DANI MONTEIRO"/>
    <x v="3"/>
    <x v="2"/>
    <m/>
    <s v="PRÓXIMA"/>
    <d v="2025-08-26T00:00:00"/>
    <d v="2025-08-27T00:00:00"/>
    <d v="2026-03-30T00:00:00"/>
    <m/>
    <m/>
    <m/>
    <m/>
    <x v="1"/>
    <m/>
    <m/>
    <m/>
    <m/>
    <s v="&lt;a href='http://alerjln1.alerj.rj.gov.br/scpro2327.nsf/18c1dd68f96be3e7832566ec0018d833/7ea2a4b27b97276603258a7d005805d2?OpenDocument'&gt; LINK&lt;/a&gt;"/>
  </r>
  <r>
    <x v="0"/>
    <s v="2024"/>
    <s v="3394/2024"/>
    <s v="DISPÕE SOBRE O RECAMBIAMENTO DE CRIANÇAS E ADOLESCENTES, NA FORMA QUE MENCIONA."/>
    <s v="MUNIR NETO"/>
    <x v="3"/>
    <x v="3"/>
    <m/>
    <s v="PRÓXIMA"/>
    <d v="2025-08-26T00:00:00"/>
    <d v="2025-08-27T00:00:00"/>
    <d v="2026-03-30T00:00:00"/>
    <m/>
    <m/>
    <m/>
    <m/>
    <x v="1"/>
    <m/>
    <m/>
    <m/>
    <m/>
    <s v="&lt;a href='http://alerjln1.alerj.rj.gov.br/scpro2327.nsf/18c1dd68f96be3e7832566ec0018d833/9df6d62d53aa1ecf03258b00005778d6?OpenDocument'&gt; LINK&lt;/a&gt;"/>
  </r>
  <r>
    <x v="0"/>
    <s v="2024"/>
    <s v="4048/2024"/>
    <s v="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
    <s v="MARTHA ROCHA"/>
    <x v="1"/>
    <x v="3"/>
    <s v="20/02/2026"/>
    <s v="8ªRE _x000a_16/12/2025"/>
    <d v="2025-08-26T00:00:00"/>
    <d v="2025-08-27T00:00:00"/>
    <d v="2025-10-02T00:00:00"/>
    <d v="2026-02-23T00:00:00"/>
    <m/>
    <m/>
    <m/>
    <x v="0"/>
    <m/>
    <m/>
    <m/>
    <m/>
    <s v="&lt;a href='http://alerjln1.alerj.rj.gov.br/scpro2327.nsf/18c1dd68f96be3e7832566ec0018d833/52e3c5bbd8f485a803258b800065d2af?OpenDocument'&gt; LINK&lt;/a&gt;"/>
  </r>
  <r>
    <x v="2"/>
    <s v="2022"/>
    <s v="6416/2022"/>
    <m/>
    <s v="ROSENVERG REIS"/>
    <x v="4"/>
    <x v="6"/>
    <m/>
    <m/>
    <m/>
    <m/>
    <m/>
    <m/>
    <m/>
    <m/>
    <m/>
    <x v="1"/>
    <m/>
    <s v="4392/2021"/>
    <m/>
    <m/>
    <m/>
  </r>
  <r>
    <x v="0"/>
    <s v="2023"/>
    <s v="1538/2023"/>
    <s v="ESTABELECE AS DIRETRIZES PARA A IMPLANTAÇÃO DO PROGRAMA DE INTERVENÇÕES ASSISTIDAS POR ANIMAIS_x000a_- IAA, NO ESTADO DO RIO DE JANEIRO E DÁ OUTRAS PROVIDÊNCIAS"/>
    <s v="ELIKA TAKIMOTO"/>
    <x v="1"/>
    <x v="3"/>
    <s v="20/02/2026"/>
    <s v="8ªRE _x000a_16/12/2025"/>
    <d v="2025-08-27T00:00:00"/>
    <d v="2025-09-09T00:00:00"/>
    <d v="2025-10-02T00:00:00"/>
    <d v="2026-02-23T00:00:00"/>
    <m/>
    <m/>
    <m/>
    <x v="0"/>
    <m/>
    <m/>
    <m/>
    <m/>
    <s v="&lt;a href='http://alerjln1.alerj.rj.gov.br/scpro2327.nsf/18c1dd68f96be3e7832566ec0018d833/569229936da0f29f032589dd006b8f02?OpenDocument'&gt; LINK&lt;/a&gt;"/>
  </r>
  <r>
    <x v="0"/>
    <s v="2024"/>
    <s v="3898/2024"/>
    <s v="DISPÕE SOBRE A CRIAÇÃO DO FUNDO DE PROTEÇÃO ANIMAL NO ESTADO DO RIO DE JANEIRO E DÁ OUTRAS PROVIDÊNCIAS."/>
    <s v="ANDREZINHO CECILIANO"/>
    <x v="1"/>
    <x v="38"/>
    <m/>
    <m/>
    <d v="2025-08-27T00:00:00"/>
    <d v="2025-09-09T00:00:00"/>
    <d v="2025-09-30T00:00:00"/>
    <m/>
    <m/>
    <m/>
    <m/>
    <x v="0"/>
    <s v="Encaminhado a SGMD por ser TIL"/>
    <m/>
    <m/>
    <m/>
    <s v="&lt;a href='http://alerjln1.alerj.rj.gov.br/scpro2327.nsf/18c1dd68f96be3e7832566ec0018d833/6a07962f5e3b31d703258b69005d71cf?OpenDocument'&gt; LINK&lt;/a&gt;"/>
  </r>
  <r>
    <x v="0"/>
    <s v="2017"/>
    <s v="2882/2017"/>
    <s v="INSERE A POLÍTICA DE ADOÇÃO NO PLANEJAMENTO FAMILIAR."/>
    <s v="FLÁVIO SERAFINI"/>
    <x v="1"/>
    <x v="2"/>
    <s v="20/02/2026"/>
    <s v="8ªRE _x000a_16/12/2025"/>
    <d v="2025-08-29T00:00:00"/>
    <d v="2025-09-09T00:00:00"/>
    <d v="2025-09-30T00:00:00"/>
    <d v="2026-02-23T00:00:00"/>
    <m/>
    <m/>
    <m/>
    <x v="0"/>
    <m/>
    <m/>
    <m/>
    <m/>
    <s v="&lt;a href='http://alerjln1.alerj.rj.gov.br/scpro1519.nsf/18c1dd68f96be3e7832566ec0018d833/bdfdcd712208f6988325812b0063e87e?OpenDocument'&gt; LINK&lt;/a&gt;"/>
  </r>
  <r>
    <x v="0"/>
    <s v="2023"/>
    <s v="892/2023"/>
    <s v="INSTITUI CAMPANHA DE PREVENÇÃO E CONSCIENTIZAÇÃO SOBRE O USO DE CIGARROS ELETRÔNICOS POR CRIANÇAS E ADOLESCENTES NO ESTADO DO RIO DE JANEIRO."/>
    <s v="DANNIEL LIBRELON"/>
    <x v="7"/>
    <x v="2"/>
    <s v="20/02/2026"/>
    <s v="8ªRE _x000a_16/12/2025"/>
    <d v="2025-08-29T00:00:00"/>
    <d v="2025-09-09T00:00:00"/>
    <d v="2025-11-27T00:00:00"/>
    <d v="2026-02-23T00:00:00"/>
    <m/>
    <m/>
    <m/>
    <x v="0"/>
    <m/>
    <m/>
    <m/>
    <m/>
    <s v="&lt;a href='http://alerjln1.alerj.rj.gov.br/scpro2327.nsf/18c1dd68f96be3e7832566ec0018d833/dab888efece568c1032589a30056e1d1?OpenDocument'&gt; LINK&lt;/a&gt;"/>
  </r>
  <r>
    <x v="0"/>
    <s v="2023"/>
    <s v="899/2023"/>
    <s v="CRIA O PROGRAMA DE DISTRIBUIÇÃO DE ÓRTESES, PRÓTESES ORTOPÉDICAS E APARELHOS LOCOMOTORES PARA ATENDIMENTO ÀS PESSOAS COM DEFICIÊNCIAS, NO ÂMBITO DO ESTADO DO RIO DE JANEIRO."/>
    <s v="VINICIUS COZZOLINO, Fred Pacheco"/>
    <x v="7"/>
    <x v="2"/>
    <s v="27/02/2026"/>
    <s v="1ªRE _x000a_24/02/2026"/>
    <d v="2025-08-29T00:00:00"/>
    <d v="2025-09-09T00:00:00"/>
    <d v="2026-02-12T00:00:00"/>
    <s v="27/02/2026"/>
    <m/>
    <m/>
    <m/>
    <x v="0"/>
    <m/>
    <m/>
    <m/>
    <m/>
    <s v="&lt;a href='http://alerjln1.alerj.rj.gov.br/scpro2327.nsf/18c1dd68f96be3e7832566ec0018d833/d3fd53701ab4d6c70325899f00620a35?OpenDocument'&gt; LINK&lt;/a&gt;"/>
  </r>
  <r>
    <x v="0"/>
    <s v="2024"/>
    <s v="3519/2024"/>
    <s v="DISPÕE SOBRE A PRIORIDADE NO AGENDAMENTO DE CONSULTA PREVENTIVA DE OFTALMOLOGIA PARA CRIANÇAS E ADOLESCENTE EM SERVIÇO DE ACOLHIMENTO, INSTITUCIONAL OU FAMILIAR, NA REDE PUBLICA DE ATENDIMENTO DE SAÚDE"/>
    <s v="MUNIR NETO"/>
    <x v="7"/>
    <x v="2"/>
    <s v="27/02/2026"/>
    <s v="1ªRE _x000a_24/02/2026"/>
    <d v="2025-08-29T00:00:00"/>
    <d v="2025-09-09T00:00:00"/>
    <d v="2026-02-12T00:00:00"/>
    <s v="27/02/2026"/>
    <m/>
    <m/>
    <m/>
    <x v="0"/>
    <m/>
    <m/>
    <m/>
    <m/>
    <s v="&lt;a href='http://alerjln1.alerj.rj.gov.br/scpro2327.nsf/18c1dd68f96be3e7832566ec0018d833/b5d372601b5de81903258b150055bfea?OpenDocument'&gt; LINK&lt;/a&gt;"/>
  </r>
  <r>
    <x v="0"/>
    <s v="2023"/>
    <s v="EP 322/2023"/>
    <s v="AUTORIZA O PODER EXECUTIVO A FORNECER ADESIVOS PARA CARROS COM A IDENTIFICAÇÃO DA PESSOA COM TRANSTORNO DO ESPECTRO AUTISTA-TEA, BEM COMO PROMOVER CAMPANHAS DE CONSCIENTIZAÇÃO NO TRÂNSITO,NO ÂMBITO DO ESTADO DO RIO DE JANEIRO."/>
    <s v="FRED PACHECO"/>
    <x v="2"/>
    <x v="3"/>
    <s v="23/12/2025"/>
    <s v="8ªRE _x000a_16/12/2025"/>
    <d v="2025-09-02T00:00:00"/>
    <d v="2025-09-09T00:00:00"/>
    <d v="2025-08-29T00:00:00"/>
    <m/>
    <m/>
    <m/>
    <m/>
    <x v="0"/>
    <m/>
    <m/>
    <m/>
    <m/>
    <s v="http://alerjln1.alerj.rj.gov.br/scpro2327.nsf/18c1dd68f96be3e7832566ec0018d833/378d480e08ac38f903258966004cc5ea?OpenDocument"/>
  </r>
  <r>
    <x v="0"/>
    <s v="2024"/>
    <s v="3084/2024"/>
    <s v="ALTERA O ANEXO DA LEI Nº 5645, DE 6 DE JANEIRO DE 2010, PARA INCLUIR NO CALENDÁRIO OFICIAL DO ESTADO DO RIO DE JANEIRO  A INSTITUIÇÃO DA SEMANA &quot;EU FREIO PARA OS ANIMAIS&quot; E DÁ OUTRAS PROVIDÊNCIAS."/>
    <s v="ANDERSON MORAES"/>
    <x v="3"/>
    <x v="23"/>
    <s v="20/02/2026"/>
    <s v="8ªRE _x000a_16/12/2025"/>
    <d v="2025-09-02T00:00:00"/>
    <d v="2025-09-09T00:00:00"/>
    <d v="2025-10-16T00:00:00"/>
    <d v="2026-02-23T00:00:00"/>
    <m/>
    <m/>
    <m/>
    <x v="0"/>
    <m/>
    <m/>
    <m/>
    <m/>
    <s v="http://alerjln1.alerj.rj.gov.br/scpro2327.nsf/18c1dd68f96be3e7832566ec0018d833/f86bb0c393a8f31203258ad20043ece2?OpenDocument"/>
  </r>
  <r>
    <x v="0"/>
    <s v="2024"/>
    <s v="3466/2024"/>
    <s v="REVOGA A LEI Nº 2.789, DE 15 DE SETEMBRO DE 1997, QUE PROÍBE A UTILIZAÇÃO DE VEÍCULOS DE 2 (DUAS) RODAS NO TRANSPORTE DE PASSAGEIROS E DÁ OUTRAS PROVIDÊNCIAS."/>
    <s v="INDIA ARMELAU"/>
    <x v="3"/>
    <x v="3"/>
    <m/>
    <s v="PRÓXIMA"/>
    <d v="2025-09-04T00:00:00"/>
    <d v="2025-09-09T00:00:00"/>
    <d v="2026-03-30T00:00:00"/>
    <m/>
    <m/>
    <m/>
    <m/>
    <x v="1"/>
    <m/>
    <m/>
    <m/>
    <m/>
    <s v="http://alerjln1.alerj.rj.gov.br/scpro2327.nsf/18c1dd68f96be3e7832566ec0018d833/451f328aacd3549b03258b0e005e017c?OpenDocument"/>
  </r>
  <r>
    <x v="0"/>
    <s v="2023"/>
    <s v="1251/2023"/>
    <s v="INSTITUI A POLÍTICA ESTADUAL DE CUIDADOS ÀS PESSOAS PORTADORAS DE TRANSTORNO DE ACUMULAÇÃO COMPULSIVA DE ANIMAIS E DÁ OUTRAS PROVIDÊNCIAS."/>
    <s v="JORGE FELIPPE NETO"/>
    <x v="3"/>
    <x v="6"/>
    <m/>
    <m/>
    <d v="2025-09-05T00:00:00"/>
    <d v="2025-09-09T00:00:00"/>
    <m/>
    <m/>
    <m/>
    <m/>
    <m/>
    <x v="3"/>
    <m/>
    <m/>
    <m/>
    <m/>
    <s v="http://alerjln1.alerj.rj.gov.br/scpro2327.nsf/18c1dd68f96be3e7832566ec0018d833/ccc3d1958e4be412032589c5006629ed?OpenDocument"/>
  </r>
  <r>
    <x v="0"/>
    <s v="2023"/>
    <s v="1758/2023"/>
    <s v="ALTERA A REDAÇÃO  DO ART. 48 DA LEI 443/81, PARA DISPOR SOBRE OS DEPENDENTES DO MILITAR:"/>
    <s v="MARCELO DINO, Carlinhos Bnh, India Armelau, Rodrigo Amorim"/>
    <x v="12"/>
    <x v="6"/>
    <m/>
    <m/>
    <d v="2025-09-05T00:00:00"/>
    <d v="2026-05-26T00:00:00"/>
    <m/>
    <m/>
    <m/>
    <m/>
    <m/>
    <x v="1"/>
    <s v="TIL"/>
    <m/>
    <m/>
    <m/>
    <s v="http://alerjln1.alerj.rj.gov.br/scpro2327.nsf/18c1dd68f96be3e7832566ec0018d833/80f984270a04400903258a06005df01c?OpenDocument"/>
  </r>
  <r>
    <x v="0"/>
    <s v="2023"/>
    <s v="1961/2023"/>
    <s v="DISPÕE SOBRE A COLETA DE DADOS SOBRE SUICÍDIO, TENTATIVA DE SUICÍDIO E HOMICÍDIO SEGUIDO DE SUICÍDIO DOS AGENTES DE SEGURANÇA PÚBLICA, NO ÂMBITO DO ESTADO DO RIO DE JANEIRO."/>
    <s v="RENATA SOUZA"/>
    <x v="3"/>
    <x v="2"/>
    <m/>
    <s v="PRÓXIMA"/>
    <d v="2025-09-05T00:00:00"/>
    <d v="2025-09-09T00:00:00"/>
    <d v="2026-03-30T00:00:00"/>
    <m/>
    <m/>
    <m/>
    <m/>
    <x v="1"/>
    <m/>
    <m/>
    <m/>
    <m/>
    <s v="http://alerjln1.alerj.rj.gov.br/scpro2327.nsf/18c1dd68f96be3e7832566ec0018d833/0bc5256d3bcd57d303258a2100591843?OpenDocument"/>
  </r>
  <r>
    <x v="0"/>
    <s v="2023"/>
    <s v="2260/2023"/>
    <s v="PROÍBE A INVESTIDURA EM CARGO, EMPREGO OU FUNÇÃO PÚBLICA POR PESSOA CONDENADA PELO CRIME DE MAUS-TRATOS CONTRA ANIMAIS."/>
    <s v="BRAZÃO, RODRIGO BACELLAR, MARCELO DINO, FRED PACHECO, India Armelau"/>
    <x v="8"/>
    <x v="3"/>
    <s v="06/02/2026"/>
    <s v="8ªRE _x000a_16/12/2025"/>
    <d v="2025-09-05T00:00:00"/>
    <d v="2025-09-09T00:00:00"/>
    <d v="2025-10-13T00:00:00"/>
    <m/>
    <m/>
    <m/>
    <m/>
    <x v="1"/>
    <m/>
    <m/>
    <m/>
    <m/>
    <s v="http://alerjln1.alerj.rj.gov.br/scpro2327.nsf/18c1dd68f96be3e7832566ec0018d833/50810f7b6cd0763603258a3d0060b3e4?OpenDocument"/>
  </r>
  <r>
    <x v="0"/>
    <s v="2024"/>
    <s v="2864/2024"/>
    <s v="ALTERA A LEI Nº 8.612 DE 06 DE NOVEMBRO DE 2019, QUE INSTITUI O PROGRAMA &quot;LIÇÕES DE PRIMEIROS SOCORROS&quot; NA REDE ESCOLAR EM TODO O ESTADO DO RIO DE JANEIRO"/>
    <s v="VINICIUS COZZOLINO"/>
    <x v="8"/>
    <x v="3"/>
    <s v="26/02/2026"/>
    <s v="8ªRE _x000a_16/12/2025"/>
    <d v="2025-09-05T00:00:00"/>
    <d v="2025-09-09T00:00:00"/>
    <d v="2025-11-18T00:00:00"/>
    <m/>
    <m/>
    <m/>
    <m/>
    <x v="1"/>
    <m/>
    <m/>
    <m/>
    <m/>
    <s v="http://alerjln1.alerj.rj.gov.br/scpro2327.nsf/18c1dd68f96be3e7832566ec0018d833/5a597e764f5094c203258ab60068c49f?OpenDocument"/>
  </r>
  <r>
    <x v="0"/>
    <s v="2024"/>
    <s v="3095/2024"/>
    <s v="IMPLEMENTA A UTILIZAÇÃO DE DROGÔMETRO OU SALIVÔMETRO NAS BLITZE DA LEI SECA NO ÂMBITO DO ESTADO DO RIO DE JANEIRO."/>
    <s v="RODRIGO AMORIM"/>
    <x v="8"/>
    <x v="3"/>
    <s v="26/02/2026"/>
    <s v="8ªRE _x000a_16/12/2025"/>
    <d v="2025-09-05T00:00:00"/>
    <d v="2025-09-09T00:00:00"/>
    <d v="2025-11-18T00:00:00"/>
    <m/>
    <m/>
    <m/>
    <m/>
    <x v="1"/>
    <m/>
    <m/>
    <m/>
    <m/>
    <s v="http://alerjln1.alerj.rj.gov.br/scpro2327.nsf/18c1dd68f96be3e7832566ec0018d833/a96eaec535928abf03258ad7005a5666?OpenDocument"/>
  </r>
  <r>
    <x v="0"/>
    <s v="2024"/>
    <s v="3434/2024"/>
    <s v="INSTITUI O SELO “FAIR PLAY - JOGO LIMPO”, PARA CERTIFICAR OS CLUBES DE FUTEBOL QUE TENHAM AÇÕES QUE OBJETIVEM A ERRADICAÇÃO DE FENÔMENOS DE VIOLÊNCIA POR OCASIÃO DE COMPETIÇÕES ESPORTIVAS, NO ÂMBITO DO ESTADO DO RIO DE JANEIRO, NA FORMA EM QUE MENCIONA."/>
    <s v="ROSENVERG REIS"/>
    <x v="8"/>
    <x v="6"/>
    <m/>
    <m/>
    <d v="2025-09-05T00:00:00"/>
    <d v="2025-09-09T00:00:00"/>
    <m/>
    <m/>
    <m/>
    <m/>
    <m/>
    <x v="3"/>
    <m/>
    <m/>
    <m/>
    <m/>
    <s v="http://alerjln1.alerj.rj.gov.br/scpro2327.nsf/18c1dd68f96be3e7832566ec0018d833/07e9bebf8422ef2203258b0a005975d2?OpenDocument"/>
  </r>
  <r>
    <x v="0"/>
    <s v="2024"/>
    <s v="3947/2024"/>
    <s v="RECONHECE NO ÂMBITO DO ESTADO DO RIO DE JANEIRO O “CORDÃO DE FITA COM DESENHOS DE BORBOLETAS E/OU LAÇOS NA COR ROXA” COMO SÍMBOLO DE IDENTIFICAÇÃO DE PESSOAS COM FIBROMIALGIA."/>
    <s v="FRED PACHECO"/>
    <x v="8"/>
    <x v="3"/>
    <s v="06/02/2026"/>
    <s v="8ªRE _x000a_16/12/2025"/>
    <d v="2025-09-05T00:00:00"/>
    <d v="2025-09-09T00:00:00"/>
    <d v="2025-10-13T00:00:00"/>
    <m/>
    <m/>
    <m/>
    <m/>
    <x v="1"/>
    <m/>
    <m/>
    <m/>
    <m/>
    <s v="http://alerjln1.alerj.rj.gov.br/scpro2327.nsf/18c1dd68f96be3e7832566ec0018d833/d50dc427eba2ec7003258b7200505f6f?OpenDocument"/>
  </r>
  <r>
    <x v="0"/>
    <s v="2024"/>
    <s v="4183/2024"/>
    <s v="ALTERA A LEI Nº 7.329, DE 08 DE JULHO DE 2016, QUE “INSTITUI, NO ÂMBITO DO ESTADO DO RIO DE JANEIRO, A LEI DE DIRETRIZES PARA A PROMOÇÃO DA ACESSIBILIDADE DAS PESSOAS COM DEFICIÊNCIA E MOBILIDADE REDUZIDA E DÁ OUTRAS PROVIDÊNCIAS."/>
    <s v="THIAGO GAGLIASSO"/>
    <x v="1"/>
    <x v="3"/>
    <s v="26/02/2026"/>
    <s v="8ªRE _x000a_16/12/2025"/>
    <d v="2025-09-05T00:00:00"/>
    <d v="2025-09-09T00:00:00"/>
    <d v="2025-09-30T00:00:00"/>
    <m/>
    <m/>
    <m/>
    <m/>
    <x v="1"/>
    <m/>
    <m/>
    <m/>
    <m/>
    <s v="http://alerjln1.alerj.rj.gov.br/scpro2327.nsf/18c1dd68f96be3e7832566ec0018d833/060f4dded9323fd403258ba200538c0a?OpenDocument"/>
  </r>
  <r>
    <x v="0"/>
    <s v="2022"/>
    <s v="6042/2022"/>
    <s v="ALTERA A LEI ESTADUAL Nº 2.242 DE 26 DE MAIO DE 1994, QUE AUTORIZA O PODER EXECUTIVO A REALIZAR AS MODALIDADES DE LOTERIA QUE MENCIONA E DÁ OUTRAS PROVIDÊNCIAS."/>
    <s v="ROSENVERG REIS"/>
    <x v="6"/>
    <x v="9"/>
    <s v="26/02/2026"/>
    <s v="8ªRE _x000a_16/12/2025"/>
    <m/>
    <m/>
    <m/>
    <m/>
    <m/>
    <m/>
    <m/>
    <x v="1"/>
    <s v="Estava com vista para o dep. LP em 14-10-2024"/>
    <m/>
    <m/>
    <m/>
    <s v="http://alerjln1.alerj.rj.gov.br/scpro1923.nsf/18c1dd68f96be3e7832566ec0018d833/90fc4e7bd2723e970325885400612d7e?OpenDocument"/>
  </r>
  <r>
    <x v="0"/>
    <s v="2020"/>
    <s v="2348/2020"/>
    <s v="ALTERA A LEI Nº 6.717, DE 18 DE MARÇO DE 2014, QUE PROÍBE O INGRESSO OU PERMANÊNCIA DE PESSOAS UTILIZANDO CAPACETE OU QUALQUER TIPO DE COBERTURA QUE OCULTE A FACE, NOS ESTABELECIMENTOS COMERCIAIS, PÚBLICOS OU ABERTOS AO PÚBLICO."/>
    <s v="LUCINHA,LUIZ PAULO"/>
    <x v="1"/>
    <x v="39"/>
    <s v="26/02/2026"/>
    <s v="8ªRE _x000a_16/12/2025"/>
    <d v="2025-09-05T00:00:00"/>
    <d v="2025-09-09T00:00:00"/>
    <d v="2025-09-30T00:00:00"/>
    <m/>
    <m/>
    <m/>
    <m/>
    <x v="1"/>
    <s v="Estava com vista para o dep. LP em 13-12-2023 e tem parecer do Andrézinho Ceciliano"/>
    <m/>
    <m/>
    <m/>
    <s v="http://alerjln1.alerj.rj.gov.br/scpro1923.nsf/18c1dd68f96be3e7832566ec0018d833/f29ad54e352bb7890325854a0058fe81?OpenDocument"/>
  </r>
  <r>
    <x v="0"/>
    <s v="2021"/>
    <s v="3737/2021"/>
    <s v="DISPÕE  SOBRE CRIAÇÃO DE PLATAFORMA DIGITAL DE MONITORAMENTO DA SAÚDE DA MULHER NO ÂMBITO DA SECRETARIA DE SAÚDE DO ESTADO DO RIO DE JANEIRO"/>
    <s v="MARTHA ROCHA"/>
    <x v="6"/>
    <x v="3"/>
    <s v="11/02/2026"/>
    <s v="8ªRE _x000a_16/12/2025"/>
    <d v="2025-09-09T00:00:00"/>
    <d v="2025-09-09T00:00:00"/>
    <d v="2025-12-02T00:00:00"/>
    <d v="2026-02-12T00:00:00"/>
    <m/>
    <m/>
    <m/>
    <x v="0"/>
    <m/>
    <m/>
    <m/>
    <m/>
    <s v="http://alerjln1.alerj.rj.gov.br/scpro1923.nsf/18c1dd68f96be3e7832566ec0018d833/3b6ea8f01bce499903258687005f6109?OpenDocument"/>
  </r>
  <r>
    <x v="0"/>
    <s v="2022"/>
    <s v="5863/2022"/>
    <s v="DETERMINA A CRIAÇÃO DO PROGRAMA ESTADUAL DE ATENDIMENTO À GESTANTE PORTADORA DO ESPECTRO AUTISTA"/>
    <s v="MARTHA ROCHA, Brazão"/>
    <x v="6"/>
    <x v="6"/>
    <m/>
    <m/>
    <d v="2025-09-09T00:00:00"/>
    <d v="2025-09-09T00:00:00"/>
    <m/>
    <m/>
    <m/>
    <m/>
    <m/>
    <x v="3"/>
    <s v="Apensado -&gt; 6476/2022"/>
    <m/>
    <m/>
    <m/>
    <s v="http://alerjln1.alerj.rj.gov.br/scpro1923.nsf/18c1dd68f96be3e7832566ec0018d833/1603127426e928cb03258837004bcf91?OpenDocument"/>
  </r>
  <r>
    <x v="0"/>
    <s v="2022"/>
    <s v="5976/2022"/>
    <s v="DISPÕE SOBRE O FORNECIMENTO GRATUITO DE UNIFORMES ESCOLARES PARA OS ESTUDANTES DA EDUCAÇÃO BÁSICA DA FUNDAÇÃO DE APOIO À ESCOLA TÉCNICA - FAETEC."/>
    <s v="FLÁVIO SERAFINI"/>
    <x v="7"/>
    <x v="2"/>
    <s v="26/02/2026"/>
    <s v="8ªRE _x000a_16/12/2025"/>
    <d v="2025-09-09T00:00:00"/>
    <d v="2025-09-09T00:00:00"/>
    <d v="2025-11-27T00:00:00"/>
    <m/>
    <m/>
    <m/>
    <m/>
    <x v="1"/>
    <m/>
    <m/>
    <m/>
    <m/>
    <s v="http://alerjln1.alerj.rj.gov.br/scpro1923.nsf/18c1dd68f96be3e7832566ec0018d833/f925b08106059c5a0325884c00611705?OpenDocument"/>
  </r>
  <r>
    <x v="0"/>
    <s v="2023"/>
    <s v="876/2023"/>
    <s v="INSTITUI O PROGRAMA &quot;TEATENÇÃO DA SAÚDE BUCAL&quot;, PARA FINS DE GARANTIR A ATENÇÃO E CUIDADOS ADEQUADOS PARA O TRATAMENTO DA SAÚDE BUCAL DA PESSOA COM TRANSTORNO DO ESPECTRO AUTISTA - TEA."/>
    <s v="MÁRCIO CANELLA"/>
    <x v="6"/>
    <x v="6"/>
    <m/>
    <m/>
    <d v="2025-09-09T00:00:00"/>
    <d v="2025-09-09T00:00:00"/>
    <m/>
    <m/>
    <m/>
    <m/>
    <m/>
    <x v="3"/>
    <m/>
    <m/>
    <m/>
    <m/>
    <s v="http://alerjln1.alerj.rj.gov.br/scpro2327.nsf/18c1dd68f96be3e7832566ec0018d833/4f3b6df2f87e93970325899c00623836?OpenDocument"/>
  </r>
  <r>
    <x v="0"/>
    <s v="2023"/>
    <s v="1210/2023"/>
    <s v="DISPÕE SOBRE O DIREITO DE PREFERÊNCIA NA MATRÍCULA E NA TRANSFERÊNCIA DE MATRÍCULA DOS FILHOS DE RESPONSÁVEL NATURAL, OU LEGAL, VÍTIMAS FATAIS OU QUE ADQUIRIRAM SEQUELAS PERMANENTES DE COVID19"/>
    <s v="ELIKA TAKIMOTO"/>
    <x v="2"/>
    <x v="3"/>
    <s v="26/02/2026"/>
    <s v="8ªRE _x000a_16/12/2025"/>
    <d v="2025-09-09T00:00:00"/>
    <d v="2025-09-09T00:00:00"/>
    <d v="2025-11-17T00:00:00"/>
    <m/>
    <m/>
    <m/>
    <m/>
    <x v="1"/>
    <m/>
    <m/>
    <m/>
    <m/>
    <s v="http://alerjln1.alerj.rj.gov.br/scpro2327.nsf/18c1dd68f96be3e7832566ec0018d833/6fcd60919c6f85b6032589c00056d75b?OpenDocument"/>
  </r>
  <r>
    <x v="0"/>
    <s v="2023"/>
    <s v="2407/2023"/>
    <s v="ALTERA A LEI ESTADUAL 6060, DE 07 DE OUTUBRO DE 2011 QUE PASSSA A VIGORAR COM A SEGUINTE REDAÇÃO:"/>
    <s v="ANDREZINHO CECILIANO"/>
    <x v="2"/>
    <x v="3"/>
    <s v="26/02/2026"/>
    <s v="8ªRE _x000a_16/12/2025"/>
    <d v="2025-09-09T00:00:00"/>
    <d v="2025-09-09T00:00:00"/>
    <d v="2025-11-17T00:00:00"/>
    <m/>
    <m/>
    <m/>
    <m/>
    <x v="1"/>
    <m/>
    <m/>
    <m/>
    <m/>
    <s v="http://alerjln1.alerj.rj.gov.br/scpro2327.nsf/18c1dd68f96be3e7832566ec0018d833/63f3742a4028e23e03258a3d006f77ad?OpenDocument"/>
  </r>
  <r>
    <x v="0"/>
    <s v="2023"/>
    <s v="486/2023"/>
    <s v="CRIA O PROGRAMA EDUCAÇÃO PARA A CIDADANIA NAS ESCOLAS DA REDE PÚBLICA DE ENSINO MÉDIO DO ESTADO DO RIO DE JANEIRO"/>
    <s v="CARLOS MINC"/>
    <x v="2"/>
    <x v="3"/>
    <s v="07/01/2026"/>
    <s v="8ªRE _x000a_16/12/2025"/>
    <d v="2025-09-09T00:00:00"/>
    <d v="2025-09-09T00:00:00"/>
    <d v="2025-11-17T00:00:00"/>
    <m/>
    <m/>
    <m/>
    <m/>
    <x v="1"/>
    <m/>
    <m/>
    <m/>
    <m/>
    <s v="http://alerjln1.alerj.rj.gov.br/scpro2327.nsf/18c1dd68f96be3e7832566ec0018d833/acdb9779169a39d703258978006e07fa?OpenDocument"/>
  </r>
  <r>
    <x v="0"/>
    <s v="2023"/>
    <s v="1040/2023"/>
    <s v="DISPÕE ACERCA DA EMISSÃO DE DOCUMENTOS EM BRAILE E DÁ OUTRAS PROVIDÊNCIAS."/>
    <s v="FILIPPE POUBEL, India Armelau"/>
    <x v="2"/>
    <x v="23"/>
    <s v="26/02/2026"/>
    <s v="8ªRE _x000a_16/12/2025"/>
    <d v="2025-09-09T00:00:00"/>
    <d v="2025-09-09T00:00:00"/>
    <d v="2025-11-17T00:00:00"/>
    <m/>
    <m/>
    <m/>
    <m/>
    <x v="1"/>
    <m/>
    <m/>
    <m/>
    <m/>
    <s v="http://alerjln1.alerj.rj.gov.br/scpro2327.nsf/18c1dd68f96be3e7832566ec0018d833/1507baaf39c0e8cb032589ac00446494?OpenDocument"/>
  </r>
  <r>
    <x v="0"/>
    <s v="2024"/>
    <s v="3248/2024"/>
    <s v="ASSEGURA ÀS MÃES SOLO A RESERVA DE VAGAS NAS ESCOLAS TÉCNICAS PÚBLICAS DA REDE ESTADUAL DE ENSINO DO ESTADO DO RIO DE JANEIRO."/>
    <s v="VINICIUS COZZOLINO"/>
    <x v="2"/>
    <x v="3"/>
    <s v="26/02/2026"/>
    <s v="8ªRE _x000a_16/12/2025"/>
    <d v="2025-09-18T00:00:00"/>
    <d v="2025-09-23T00:00:00"/>
    <d v="2025-10-01T00:00:00"/>
    <m/>
    <m/>
    <m/>
    <m/>
    <x v="1"/>
    <m/>
    <m/>
    <m/>
    <m/>
    <s v="http://alerjln1.alerj.rj.gov.br/scpro2327.nsf/18c1dd68f96be3e7832566ec0018d833/73cd4bc2db0ba40903258ae600587cc8?OpenDocument"/>
  </r>
  <r>
    <x v="0"/>
    <s v="2023"/>
    <s v="13/2023"/>
    <s v="INSTITUI O PROGRAMA ESPECIAL DE FINANCIAMENTO DO CURSO DE MEDICINA EM UNIVERSIDADES PRIVADAS OFERECIDO PELO PODER EXECUTIVO ESTADUAL, NA FORMA EM QUE MENCIONA, NO ÂMBITO DO ESTADO DO RIO DE JANEIRO."/>
    <s v="ROSENVERG REIS"/>
    <x v="2"/>
    <x v="2"/>
    <s v="07/01/2026"/>
    <s v="8ªRE _x000a_16/12/2025"/>
    <d v="2025-09-23T00:00:00"/>
    <d v="2025-09-30T00:00:00"/>
    <d v="2025-11-17T00:00:00"/>
    <m/>
    <m/>
    <m/>
    <m/>
    <x v="1"/>
    <m/>
    <m/>
    <m/>
    <m/>
    <s v="http://alerjln1.alerj.rj.gov.br/scpro2327.nsf/18c1dd68f96be3e7832566ec0018d833/457a5178c1ccdf450325894a006dbfa1?OpenDocument"/>
  </r>
  <r>
    <x v="0"/>
    <s v="2024"/>
    <s v="3700/2024"/>
    <s v="ASSEGURA ÀS MULHERES COM MAMA DENSA O DIREITO DE FAZER O EXAME DE RESSONÂNCIA NUCLEAR MAGNÉTICA ASSOCIADA À MAMOGRAFIA NAS UNIDADES PÚBLICAS DE SAÚDE OU CONVENIADAS INTEGRANTES DO SISTEMA ÚNICO DE SAÚDE (SUS) E DÁ OUTRAS PROVIDÊNCIAS."/>
    <s v="CARLA MACHADO"/>
    <x v="2"/>
    <x v="3"/>
    <s v="26/02/2026"/>
    <s v="8ªRE _x000a_16/12/2025"/>
    <d v="2025-09-23T00:00:00"/>
    <d v="2025-09-30T00:00:00"/>
    <d v="2025-11-17T00:00:00"/>
    <m/>
    <m/>
    <m/>
    <m/>
    <x v="1"/>
    <m/>
    <m/>
    <m/>
    <m/>
    <s v="http://alerjln1.alerj.rj.gov.br/scpro2327.nsf/18c1dd68f96be3e7832566ec0018d833/5ef540992a5e014203258b32006862ac?OpenDocument"/>
  </r>
  <r>
    <x v="0"/>
    <s v="2023"/>
    <s v="1574/2023"/>
    <s v="DISPÕE SOBRE A APRENDIZAGEM DO USO ÉTICO DA INTELIGÊNCIA ARTIFICIAL NAS ESCOLAS."/>
    <s v="ANDREZINHO CECILIANO"/>
    <x v="3"/>
    <x v="2"/>
    <s v="26/02/2026"/>
    <s v="8ªRE _x000a_16/12/2025"/>
    <d v="2025-09-25T00:00:00"/>
    <d v="2025-09-25T00:00:00"/>
    <d v="2025-10-08T00:00:00"/>
    <m/>
    <m/>
    <m/>
    <m/>
    <x v="1"/>
    <m/>
    <m/>
    <m/>
    <m/>
    <s v="http://alerjln1.alerj.rj.gov.br/scpro2327.nsf/18c1dd68f96be3e7832566ec0018d833/dff570f231a95380032589f100450bac?OpenDocument"/>
  </r>
  <r>
    <x v="0"/>
    <s v="2023"/>
    <s v="1901/2023"/>
    <s v="ALTERA A LEI Nº 9395, DE 09 DE SETEMBRO DE 2021, QUE ESTABELECE A POLÍTICA ESTADUAL DE PROTEÇÃO DOS DIREITOS DA PESSOA COM TRANSTORNO DO ESPECTRO AUTISTA."/>
    <s v="OTONI DE PAULA PAI"/>
    <x v="3"/>
    <x v="6"/>
    <m/>
    <m/>
    <d v="2025-09-25T00:00:00"/>
    <d v="2025-09-25T00:00:00"/>
    <m/>
    <m/>
    <m/>
    <m/>
    <m/>
    <x v="3"/>
    <m/>
    <m/>
    <m/>
    <m/>
    <s v="http://alerjln1.alerj.rj.gov.br/scpro2327.nsf/18c1dd68f96be3e7832566ec0018d833/b912edef0d18134903258a1a005983a0?OpenDocument"/>
  </r>
  <r>
    <x v="0"/>
    <s v="2023"/>
    <s v="2056/2023"/>
    <s v="ALTERA A LEI Nº 4.617, DE 11 DE OUTUBRO DE 2005, E A LEI Nº 5.645, DE 06 DE JANEIRO DE 2010, PARA INSTITUIR NO CALENDÁRIO OFICIAL DO ESTADO DO RIO DE JANEIRO O DIA DE COMBATE AO FUMO, BEM COMO A CAMPANHA DE SAÚDE PÚBLICA &quot;A MELHOR ESCOLHA É NÃO FUMAR&quot;, NA FORMA QUE MENCIONA."/>
    <s v="MÁRCIO CANELLA"/>
    <x v="3"/>
    <x v="6"/>
    <m/>
    <m/>
    <d v="2025-09-25T00:00:00"/>
    <d v="2025-09-25T00:00:00"/>
    <m/>
    <m/>
    <m/>
    <m/>
    <m/>
    <x v="3"/>
    <m/>
    <m/>
    <m/>
    <m/>
    <s v="http://alerjln1.alerj.rj.gov.br/scpro2327.nsf/18c1dd68f96be3e7832566ec0018d833/452da8c6b1f31e1f03258a1b00512834?OpenDocument"/>
  </r>
  <r>
    <x v="0"/>
    <m/>
    <s v="2984/2024"/>
    <s v="“GARANTE ÀS PESSOAS COM TRANSTORNO DO ESPECTRO AUTISTA-TEA, INDEPENDENTE  DA AQUISIÇÃO DA MAIORIDADE, A GARANTIA DE TODOS OS DIREITOS ESTABELECIDOS NA LEI 13.146 DE 06 DE JULHO DE 2015 E DÁ OUTRAS PROVIDÊNCIAS.&quot;"/>
    <s v="FRED PACHECO"/>
    <x v="3"/>
    <x v="3"/>
    <m/>
    <s v="PRÓXIMA"/>
    <d v="2025-09-25T00:00:00"/>
    <d v="2025-09-25T00:00:00"/>
    <d v="2026-03-30T00:00:00"/>
    <m/>
    <m/>
    <m/>
    <m/>
    <x v="1"/>
    <m/>
    <m/>
    <m/>
    <m/>
    <s v="http://alerjln1.alerj.rj.gov.br/scpro2327.nsf/18c1dd68f96be3e7832566ec0018d833/510b28156847a97003258aca0059d4fd?OpenDocument"/>
  </r>
  <r>
    <x v="0"/>
    <m/>
    <s v="4195/2024"/>
    <s v="INSTITUI A POLÍTICA ESTADUAL DE DIAGNÓSTICO E ACESSIBILIDADE PARA PESSOAS COM DALTONISMO NA EDUCAÇÃO."/>
    <s v="ELIKA TAKIMOTO"/>
    <x v="3"/>
    <x v="3"/>
    <s v="26/02/2026"/>
    <s v="8ªRE _x000a_16/12/2025"/>
    <d v="2025-09-25T00:00:00"/>
    <d v="2025-09-25T00:00:00"/>
    <d v="2025-10-08T00:00:00"/>
    <m/>
    <m/>
    <m/>
    <m/>
    <x v="1"/>
    <m/>
    <m/>
    <m/>
    <m/>
    <s v="http://alerjln1.alerj.rj.gov.br/scpro2327.nsf/18c1dd68f96be3e7832566ec0018d833/b997dd38a81b1e0403258ba300693e72?OpenDocument"/>
  </r>
  <r>
    <x v="0"/>
    <m/>
    <s v="EP 1354/2012"/>
    <s v="CRIA O CERTIFICADO “PARCEIRO AMBIENTAL”, NO ÂMBITO DO ESTADO DO RIO DE JANEIRO."/>
    <s v="BERNARDO ROSSI"/>
    <x v="2"/>
    <x v="11"/>
    <s v="07/01/2026"/>
    <s v="8ªRE _x000a_16/12/2025"/>
    <d v="2025-09-29T00:00:00"/>
    <d v="2025-09-30T00:00:00"/>
    <d v="2025-11-17T00:00:00"/>
    <m/>
    <m/>
    <m/>
    <m/>
    <x v="1"/>
    <m/>
    <m/>
    <m/>
    <m/>
    <s v="http://alerjln1.alerj.rj.gov.br/scpro1115.nsf/18c1dd68f96be3e7832566ec0018d833/6ca7d7f63854b41e832579c1006a4f0a?OpenDocument"/>
  </r>
  <r>
    <x v="0"/>
    <s v="2016"/>
    <s v="EP 1512/2016"/>
    <s v="DISPÕE SOBRE O USO PREFERENCIAL DE FERTILIZANTES ORGÂNICOS POR PARTE DA ADMINISTRAÇÃO ESTADUAL."/>
    <s v="DR JULIANELLI"/>
    <x v="1"/>
    <x v="26"/>
    <s v="07/01/2026"/>
    <s v="8ªRE _x000a_16/12/2025"/>
    <d v="2025-09-29T00:00:00"/>
    <d v="2025-09-30T00:00:00"/>
    <d v="2025-11-25T00:00:00"/>
    <m/>
    <m/>
    <m/>
    <m/>
    <x v="1"/>
    <m/>
    <m/>
    <m/>
    <m/>
    <s v="http://alerjln1.alerj.rj.gov.br/scpro1519.nsf/18c1dd68f96be3e7832566ec0018d833/14b8ccee4243218383257f70004ecc68?OpenDocument"/>
  </r>
  <r>
    <x v="0"/>
    <s v="2017"/>
    <s v="EP 3343/2017"/>
    <s v="DISPÕE SOBRE A CRIAÇÃO DA DELEGACIA ESTADUAL DE REPRESSÃO A CRIMES RURAIS, E DÁ OUTRAS PROVIDÊNCIAS."/>
    <s v="CHICO MACHADO,FILIPE SOARES"/>
    <x v="1"/>
    <x v="40"/>
    <s v="07/01/2026"/>
    <s v="8ªRE _x000a_16/12/2025"/>
    <d v="2025-09-29T00:00:00"/>
    <d v="2025-09-30T00:00:00"/>
    <d v="2025-11-25T00:00:00"/>
    <m/>
    <m/>
    <m/>
    <m/>
    <x v="1"/>
    <m/>
    <m/>
    <m/>
    <m/>
    <s v="http://alerjln1.alerj.rj.gov.br/scpro1519.nsf/18c1dd68f96be3e7832566ec0018d833/dbf5f494f22e37398325819200444ba4?OpenDocument"/>
  </r>
  <r>
    <x v="0"/>
    <s v="2023"/>
    <s v="631/2023"/>
    <s v="CRIA O PROGRAMA TRILHAS ACESSÍVEIS QUE GARANTE A DISPONIBILIZAÇÃO DE CADEIRA JULIETTI EM TODOS OS PARQUES E OU UNIDADES DE CONSERVAÇÃO DO ESTADOS DO RIO DE JANEIRO QUE TENHAM TRILHA OU MONTANHAS."/>
    <s v="OTONI DE PAULA PAI"/>
    <x v="1"/>
    <x v="2"/>
    <s v="26/02/2026"/>
    <s v="8ªRE _x000a_16/12/2025"/>
    <d v="2025-09-29T00:00:00"/>
    <d v="2025-09-30T00:00:00"/>
    <d v="2025-11-25T00:00:00"/>
    <m/>
    <m/>
    <m/>
    <m/>
    <x v="1"/>
    <m/>
    <m/>
    <m/>
    <m/>
    <s v="http://alerjln1.alerj.rj.gov.br/scpro2327.nsf/18c1dd68f96be3e7832566ec0018d833/f393069904dfa4bc03258987004e7a07?OpenDocument"/>
  </r>
  <r>
    <x v="0"/>
    <s v="2024"/>
    <s v="4270/2024"/>
    <s v="DISPÕE SOBRE A PROMOÇÃO DA SAÚDE MENTAL NA AGRICULTURA FAMILIAR NO ESTADO DO RIO DE JANEIRO E DÁ OUTRAS PROVIDÊNCIAS."/>
    <s v="VAL CEASA"/>
    <x v="1"/>
    <x v="41"/>
    <s v="26/02/2026"/>
    <s v="8ªRE _x000a_16/12/2025"/>
    <d v="2025-09-29T00:00:00"/>
    <d v="2025-09-30T00:00:00"/>
    <d v="2025-11-25T00:00:00"/>
    <m/>
    <m/>
    <m/>
    <m/>
    <x v="1"/>
    <m/>
    <m/>
    <m/>
    <m/>
    <s v="http://alerjln1.alerj.rj.gov.br/scpro2327.nsf/18c1dd68f96be3e7832566ec0018d833/a99fee60dd30557a03258bb3005ba05d?OpenDocument"/>
  </r>
  <r>
    <x v="0"/>
    <s v="2023"/>
    <s v="1606/2023"/>
    <s v="ALTERA A LEI Nº 5.645, DE 06 DE JANEIRO DE 2010, PARA INSTITUIR NO CALENDÁRIO OFICIAL DO ESTADO DO RIO DE JANEIRO O &quot;DIA ESTADUAL DA DIGNIDADE MENSTRUAL&quot; E A &quot;SEMANA DA DIGNIDADE ÍNTIMA FEMININA E DA MENSTRUAÇÃO SEM TABU&quot;, INSTITUINDO AINDA A CAMPANHA EDUCACIONAL &quot;SEGUE O FLUXO&quot; NA REDE PÚBLICA E PRIVADA DE ENSINO, NA FORMA QUE MENCIONA."/>
    <s v="MÁRCIO CANELLA"/>
    <x v="1"/>
    <x v="26"/>
    <s v="26/02/2026"/>
    <s v="8ªRE _x000a_16/12/2025"/>
    <d v="2025-09-29T00:00:00"/>
    <d v="2025-09-30T00:00:00"/>
    <d v="2025-11-25T00:00:00"/>
    <m/>
    <m/>
    <m/>
    <m/>
    <x v="1"/>
    <m/>
    <m/>
    <m/>
    <m/>
    <s v="http://alerjln1.alerj.rj.gov.br/scpro2327.nsf/18c1dd68f96be3e7832566ec0018d833/4d6dd6d1d5f07de1032589f0005eea82?OpenDocument"/>
  </r>
  <r>
    <x v="0"/>
    <s v="2023"/>
    <s v="1470/2023"/>
    <s v="DISPÕE SOBRE O “PROGRAMA DE PUBLICIDADE E PROPAGANDA DOS POLOS DE MODA E GASTRONÔMICOS DO MUNICÍPIO DE PETRÓPOLIS”"/>
    <s v="YURI"/>
    <x v="3"/>
    <x v="2"/>
    <s v="23/12/2025"/>
    <s v="8ªRE _x000a_16/12/2025"/>
    <d v="2025-09-29T00:00:00"/>
    <d v="2025-09-30T00:00:00"/>
    <d v="2025-12-04T00:00:00"/>
    <m/>
    <m/>
    <m/>
    <m/>
    <x v="1"/>
    <m/>
    <m/>
    <m/>
    <m/>
    <s v="http://alerjln1.alerj.rj.gov.br/scpro2327.nsf/18c1dd68f96be3e7832566ec0018d833/4b668452067274d9032589dc0069edf1?OpenDocument"/>
  </r>
  <r>
    <x v="0"/>
    <s v="2024"/>
    <s v="4319/2024"/>
    <s v="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
    <s v="VERONICA LIMA"/>
    <x v="2"/>
    <x v="2"/>
    <s v="23/12/2025"/>
    <s v="8ªRE _x000a_16/12/2025"/>
    <d v="2025-09-29T00:00:00"/>
    <d v="2025-09-30T00:00:00"/>
    <d v="2025-10-13T00:00:00"/>
    <m/>
    <m/>
    <m/>
    <m/>
    <x v="1"/>
    <m/>
    <m/>
    <m/>
    <m/>
    <s v="http://alerjln1.alerj.rj.gov.br/scpro2327.nsf/18c1dd68f96be3e7832566ec0018d833/c1dfadc7cab36b7603258bbe004f2ca0?OpenDocument"/>
  </r>
  <r>
    <x v="0"/>
    <s v="2022"/>
    <s v="6086/2022"/>
    <s v="INSTITUI O PROGRAMA “AMAMENTAÇÃO HUMANIZADA” NAS MATERNIDADES, CASAS DE PARTO E HOSPITAIS PÚBLICOS DO ESTADO DO RIO DE JANEIRO E DÁ OUTRAS PROVIDÊNCIAS."/>
    <s v="SAMUEL MALAFAIA"/>
    <x v="2"/>
    <x v="3"/>
    <m/>
    <s v="PLENÁRIO"/>
    <d v="2025-09-30T00:00:00"/>
    <d v="2025-09-30T00:00:00"/>
    <d v="2025-11-17T00:00:00"/>
    <d v="2025-11-24T00:00:00"/>
    <m/>
    <m/>
    <m/>
    <x v="0"/>
    <s v="Saiu, em 24/11/2025, para ir a plenário"/>
    <m/>
    <m/>
    <m/>
    <s v="http://alerjln1.alerj.rj.gov.br/scpro1923.nsf/18c1dd68f96be3e7832566ec0018d833/d5b5f0db8712fdee032588670067ba64?OpenDocument"/>
  </r>
  <r>
    <x v="0"/>
    <s v="2023"/>
    <s v="1637/2023"/>
    <s v="PROGRAMA DE INCENTIVO A COMUNICAÇÃO NÃO VIOLENTA (CNV) NO ÂMBITO DO ESTADO DO RIO DE JANEIRO"/>
    <s v="DANNIEL LIBRELON"/>
    <x v="1"/>
    <x v="2"/>
    <s v="26/02/2026"/>
    <s v="8ªRE _x000a_16/12/2025"/>
    <d v="2025-09-30T00:00:00"/>
    <d v="2025-09-30T00:00:00"/>
    <d v="2025-11-25T00:00:00"/>
    <m/>
    <m/>
    <m/>
    <m/>
    <x v="1"/>
    <m/>
    <m/>
    <m/>
    <m/>
    <s v="http://alerjln1.alerj.rj.gov.br/scpro2327.nsf/18c1dd68f96be3e7832566ec0018d833/0a64b9bb9012d1dd03258a00005dd944?OpenDocument"/>
  </r>
  <r>
    <x v="0"/>
    <s v="2023"/>
    <s v="EP 403/2023"/>
    <s v="OS ÓRGÃOS E ENTIDADES DA ADMINISTRAÇÃO PÚBLICA DIRETA, INDIRETA, AUTÁRQUICA E FUNDACIONAL DO ESTADO DO RIO DE JANEIRO DEVERÃO REALIZAR PALESTRA PARA OS SEUS SERVIDORES E TERCEIRIZADOS, ANUALMENTE, SOBRE CONSCIENTIZAÇÃO E PREVENÇÃO CONTRA O ETARISMO."/>
    <s v="LUIZ CLAUDIO RIBEIRO"/>
    <x v="1"/>
    <x v="42"/>
    <s v="23/12/2025"/>
    <s v="8ªRE _x000a_16/12/2025"/>
    <d v="2025-09-30T00:00:00"/>
    <d v="2025-09-30T00:00:00"/>
    <d v="2025-11-25T00:00:00"/>
    <m/>
    <m/>
    <m/>
    <m/>
    <x v="1"/>
    <m/>
    <m/>
    <m/>
    <m/>
    <s v="http://alerjln1.alerj.rj.gov.br/scpro2327.nsf/18c1dd68f96be3e7832566ec0018d833/3064f6afba52255203258972004db810?OpenDocument"/>
  </r>
  <r>
    <x v="0"/>
    <s v="2025"/>
    <s v="6443/2025"/>
    <s v="DISPÕE SOBRE A REVISÃO 2026 DO PLANO PLURIANUAL 2024-2027, INSTITUÍDO PELA LEI Nº 10.276, DE 09 DE JANEIRO DE 2024"/>
    <s v="PODER EXECUTIVO"/>
    <x v="0"/>
    <x v="3"/>
    <s v="23/10/2025"/>
    <s v="PLENÁRIO"/>
    <d v="2025-10-02T00:00:00"/>
    <m/>
    <m/>
    <d v="2025-10-23T00:00:00"/>
    <m/>
    <m/>
    <m/>
    <x v="0"/>
    <s v="PPA2026"/>
    <m/>
    <m/>
    <m/>
    <s v="http://alerjln1.alerj.rj.gov.br/scpro2327.nsf/18c1dd68f96be3e7832566ec0018d833/5841ef12448729de03258d1600802ccf?OpenDocument"/>
  </r>
  <r>
    <x v="0"/>
    <s v="2025"/>
    <s v="6444/2025"/>
    <s v="ESTIMA A RECEITA E FIXA A DESPESA DO ESTADO DO RIO DE JANEIRO PARA O EXERCÍCIO FINANCEIRO DE 2026"/>
    <s v="PODER EXECUTIVO"/>
    <x v="0"/>
    <x v="43"/>
    <s v="23/10/2025"/>
    <s v="PLENÁRIO"/>
    <d v="2025-10-02T00:00:00"/>
    <m/>
    <m/>
    <d v="2025-10-23T00:00:00"/>
    <m/>
    <m/>
    <m/>
    <x v="0"/>
    <s v="LOA2026"/>
    <m/>
    <m/>
    <m/>
    <s v="http://alerjln1.alerj.rj.gov.br/scpro2327.nsf/18c1dd68f96be3e7832566ec0018d833/4e12c15dfca6b52503258d160080a7e5?OpenDocument"/>
  </r>
  <r>
    <x v="0"/>
    <s v="2020"/>
    <s v="2951/2020"/>
    <s v="DISPÕE SOBRE A OBRIGATORIEDADE DE PERMANÊNCIA DE FISIOTERAPEUTA NAS MATERNIDADES PÚBLICAS E PRIVADAS, NO ÂMBITO DO ESTADO DO RIO DE JANEIRO E DÁ OUTRAS PROVIDÊNCIAS"/>
    <s v="MARTHA ROCHA"/>
    <x v="2"/>
    <x v="3"/>
    <s v="26/02/2026"/>
    <s v="8ªRE _x000a_16/12/2025"/>
    <d v="2025-10-06T00:00:00"/>
    <d v="2025-10-23T00:00:00"/>
    <d v="2025-11-17T00:00:00"/>
    <m/>
    <m/>
    <m/>
    <m/>
    <x v="1"/>
    <m/>
    <m/>
    <m/>
    <m/>
    <s v="http://alerjln1.alerj.rj.gov.br/scpro1923.nsf/18c1dd68f96be3e7832566ec0018d833/578df22094ab5ac4032585b9005f5d38?OpenDocument"/>
  </r>
  <r>
    <x v="0"/>
    <s v="2023"/>
    <s v="EP 731/2023"/>
    <s v="DETERMINA A CAPACITAÇÃO DE PROFISSIONAIS DE SEGURANÇA PÚBLICA E DE AGENTES SOCIOEDUCATIVOS PARA O ATENDIMENTO ÀS PESSOAS COM TRANSTORNO DE ESPECTRO AUTISTA (TEA)."/>
    <s v="LUIZ CLAUDIO RIBEIRO"/>
    <x v="1"/>
    <x v="44"/>
    <s v="23/12/2025"/>
    <s v="8ªRE _x000a_16/12/2025"/>
    <d v="2025-10-06T00:00:00"/>
    <d v="2025-10-23T00:00:00"/>
    <d v="2025-11-25T00:00:00"/>
    <m/>
    <m/>
    <m/>
    <m/>
    <x v="1"/>
    <m/>
    <m/>
    <m/>
    <m/>
    <s v="http://alerjln1.alerj.rj.gov.br/scpro2327.nsf/18c1dd68f96be3e7832566ec0018d833/6216466ab7695c090325898f006adb7d?OpenDocument"/>
  </r>
  <r>
    <x v="0"/>
    <s v="2023"/>
    <s v="2556/2023"/>
    <s v="DISPÕE SOBRE O CRIAÇÃO DE CENTROS DE TREINAMENTO DE FUTEBOL PARA PESSOAS COM DEFICIÊNCIA NO ÂMBITO DO ESTADO DO RIO DE JANEIRO"/>
    <s v="ELIKA TAKIMOTO"/>
    <x v="2"/>
    <x v="3"/>
    <s v="26/02/2026"/>
    <s v="8ªRE _x000a_16/12/2025"/>
    <d v="2025-10-06T00:00:00"/>
    <d v="2025-10-23T00:00:00"/>
    <d v="2025-11-17T00:00:00"/>
    <m/>
    <m/>
    <m/>
    <m/>
    <x v="1"/>
    <m/>
    <m/>
    <m/>
    <m/>
    <s v="http://alerjln1.alerj.rj.gov.br/scpro2327.nsf/18c1dd68f96be3e7832566ec0018d833/c00d83eee601ffef03258a670062b91f?OpenDocument"/>
  </r>
  <r>
    <x v="0"/>
    <s v="2024"/>
    <s v="3132/2024"/>
    <s v="CRIA A CAMPANHA EDUCATIVA DE COMBATE AO CRIME DE IMPORTUNAÇÃO SEXUAL NAS ESCOLAS DA REDE PÚBLICA ESTADUAL DE ENSINO DO ESTADO DO RIO DE JANEIRO."/>
    <s v="MARTHA ROCHA"/>
    <x v="2"/>
    <x v="3"/>
    <s v="26/02/2026"/>
    <s v="8ªRE _x000a_16/12/2025"/>
    <d v="2025-10-06T00:00:00"/>
    <d v="2025-10-23T00:00:00"/>
    <d v="2025-11-17T00:00:00"/>
    <m/>
    <m/>
    <m/>
    <m/>
    <x v="1"/>
    <m/>
    <m/>
    <m/>
    <m/>
    <s v="http://alerjln1.alerj.rj.gov.br/scpro2327.nsf/18c1dd68f96be3e7832566ec0018d833/9b192a6e05d49c2503258ad9004d0ab0?OpenDocument"/>
  </r>
  <r>
    <x v="0"/>
    <s v="2023"/>
    <s v="841/2023"/>
    <s v="AUTORIZA O PODER EXECUTIVO A INSTITUIR O AUXÍLIO-MORADIA AO POLICIAL MILITAR, POLICIAL CIVIL, POLICIAL PENAL E AGENTE SOCIOEDUCATIVO, NOS CASOS EM QUE ESPECIFICA."/>
    <s v="MARCELO DINO"/>
    <x v="3"/>
    <x v="3"/>
    <m/>
    <s v="N/A"/>
    <m/>
    <m/>
    <d v="2025-10-08T00:00:00"/>
    <m/>
    <m/>
    <m/>
    <m/>
    <x v="0"/>
    <s v="Este PL é indicado para TIL pela CCJ. Chegou em 08/10/2025 da relatora e eu reencaminhei a SGMD"/>
    <m/>
    <m/>
    <m/>
    <s v="http://alerjln1.alerj.rj.gov.br/scpro2327.nsf/18c1dd68f96be3e7832566ec0018d833/d49535f1f64392b903258995006c29c1?OpenDocument"/>
  </r>
  <r>
    <x v="1"/>
    <s v="2025"/>
    <s v="40/2025"/>
    <s v="ESTABELECE NORMAS APLICÁVEIS À ALIENAÇÃO ONEROSA DE IMÓVEIS, AUTORIZA O ESTADO DO RIO DE JANEIRO A ALIENAR AQUELES A QUE SE FAZ REFERÊNCIA, E DÁ OUTRAS PROVIDÊNCIAS"/>
    <s v="PODER EXECUTIVO"/>
    <x v="0"/>
    <x v="6"/>
    <m/>
    <m/>
    <d v="2025-10-08T00:00:00"/>
    <d v="2025-10-08T00:00:00"/>
    <m/>
    <d v="2025-11-12T00:00:00"/>
    <m/>
    <m/>
    <m/>
    <x v="0"/>
    <s v="Foi direto a plenário em 12/11/2025"/>
    <m/>
    <m/>
    <m/>
    <s v="http://alerjln1.alerj.rj.gov.br/scpro2327.nsf/34c4e2da9b17c0d3832566ec0018d830/7ca3878f068ca1f203258cea004d0b64?OpenDocument"/>
  </r>
  <r>
    <x v="0"/>
    <s v="2017"/>
    <s v="3662/2017"/>
    <s v="DISPÕE SOBRE A CRIAÇÃO DO GUIA DE INFORMAÇÃO DOS SERVIÇOS RELATIVOS A SAÚDE DA MULHER E DO HOMEM NA REDE PÚBLICA E PRIVADA DE SAÚDE DO ESTADO DO RIO DE JANEIRO E DÁ OUTRAS PROVIDÊNCIAS."/>
    <s v="MARCIA JEOVANI"/>
    <x v="2"/>
    <x v="3"/>
    <s v="07/01/2026"/>
    <s v="8ªRE _x000a_16/12/2025"/>
    <d v="2025-10-08T00:00:00"/>
    <d v="2025-10-23T00:00:00"/>
    <d v="2025-11-17T00:00:00"/>
    <m/>
    <m/>
    <m/>
    <m/>
    <x v="1"/>
    <m/>
    <m/>
    <m/>
    <m/>
    <s v="http://alerjln1.alerj.rj.gov.br/scpro1519.nsf/18c1dd68f96be3e7832566ec0018d833/01b597a00f854cd2832581e9005cdcf2?OpenDocument"/>
  </r>
  <r>
    <x v="0"/>
    <s v="2019"/>
    <s v="EP 1750/2019"/>
    <s v="AUTORIZA O PODER EXECUTIVO A CRIAR O “PROGRAMA CARTÃO POPULAR”, NO ÂMBITO DO ESTADO DO RIO DE JANEIRO."/>
    <s v="BRAZAO"/>
    <x v="2"/>
    <x v="45"/>
    <s v="23/12/2025"/>
    <s v="8ªRE _x000a_16/12/2025"/>
    <d v="2025-10-08T00:00:00"/>
    <d v="2025-10-23T00:00:00"/>
    <d v="2025-11-17T00:00:00"/>
    <m/>
    <m/>
    <m/>
    <m/>
    <x v="1"/>
    <m/>
    <m/>
    <m/>
    <m/>
    <s v="http://alerjln1.alerj.rj.gov.br/scpro1923.nsf/18c1dd68f96be3e7832566ec0018d833/e1b725d7971414d9032584c700681c6e?OpenDocument"/>
  </r>
  <r>
    <x v="0"/>
    <s v="2023"/>
    <s v="1342/2023"/>
    <s v="AUTORIZA O PODER EXECUTIVO A DESENVOLVER SOFTWARE VOLTADO À PREVENÇÃO DE AFOGAMENTOS NO ESTADO DO RIO DE JANEIRO"/>
    <s v="ELIKA TAKIMOTO"/>
    <x v="2"/>
    <x v="2"/>
    <s v="26/02/2026"/>
    <s v="8ªRE _x000a_16/12/2025"/>
    <d v="2025-10-14T00:00:00"/>
    <d v="2025-10-23T00:00:00"/>
    <d v="2025-11-17T00:00:00"/>
    <m/>
    <m/>
    <m/>
    <m/>
    <x v="1"/>
    <m/>
    <m/>
    <m/>
    <m/>
    <s v="http://alerjln1.alerj.rj.gov.br/scpro2327.nsf/18c1dd68f96be3e7832566ec0018d833/32540b24a6fd2d20032589cf0055e147?OpenDocument"/>
  </r>
  <r>
    <x v="0"/>
    <s v="2023"/>
    <s v="2299/2023"/>
    <s v="DISPÕE SOBRE AS AUTONOMIAS TÉCNICA, CIENTÍFICA E FUNCIONAL, NO EXERCÍCIO DA ATIVIDADE DE PERÍCIA OFICIAL DE NATUREZA CRIMINAL, ASSEGURADAS PELA LEI FEDERAL 12.030/2009"/>
    <s v="CARLOS MINC"/>
    <x v="2"/>
    <x v="3"/>
    <s v="26/02/2026"/>
    <s v="8ªRE _x000a_16/12/2025"/>
    <d v="2025-10-14T00:00:00"/>
    <d v="2025-10-23T00:00:00"/>
    <d v="2025-11-17T00:00:00"/>
    <m/>
    <m/>
    <m/>
    <m/>
    <x v="1"/>
    <m/>
    <m/>
    <m/>
    <m/>
    <s v="http://alerjln1.alerj.rj.gov.br/scpro2327.nsf/18c1dd68f96be3e7832566ec0018d833/2cd01072eb8e51ed03258a3f005d2536?OpenDocument"/>
  </r>
  <r>
    <x v="0"/>
    <s v="2024"/>
    <s v="2876/2024"/>
    <s v="DISPÕE SOBRE O PROGRAMA DE APOIO A FAMÍLIAS E RESPONSÁVEIS POR PESSOAS PORTADORAS DE ATROFIA MUSCULAR ESPINHAL – AME –, ESCLEROSE LATERAL AMIOTRÓFICA – ELA – E OUTRAS DOENÇAS RARAS."/>
    <s v="MARTHA ROCHA"/>
    <x v="2"/>
    <x v="3"/>
    <s v="26/02/2026"/>
    <s v="8ªRE _x000a_16/12/2025"/>
    <d v="2025-10-14T00:00:00"/>
    <d v="2025-10-23T00:00:00"/>
    <d v="2025-11-17T00:00:00"/>
    <m/>
    <m/>
    <m/>
    <m/>
    <x v="1"/>
    <m/>
    <m/>
    <m/>
    <m/>
    <s v="http://alerjln1.alerj.rj.gov.br/scpro2327.nsf/18c1dd68f96be3e7832566ec0018d833/f1054edf8b5286d403258aba005c7410?OpenDocument"/>
  </r>
  <r>
    <x v="0"/>
    <m/>
    <s v="2441/2023"/>
    <s v="AUTORIZA O PODER EXECUTIVO A CRIAR PROGRAMA DE TREINAMENTO PARA SERVIDORES DA ÁREA DE SAÚDE DO SEXO FEMININO QUE FAÇAM ATENDIMENTO DOMICILIAR"/>
    <s v="GISELLE MONTEIRO"/>
    <x v="8"/>
    <x v="6"/>
    <m/>
    <s v="PLENÁRIO"/>
    <d v="2025-10-16T00:00:00"/>
    <d v="2025-10-23T00:00:00"/>
    <d v="2026-03-10T00:00:00"/>
    <d v="2026-03-10T00:00:00"/>
    <m/>
    <m/>
    <m/>
    <x v="0"/>
    <s v="Não teve parecer porque foi direto a plenário em 12/03/2026"/>
    <m/>
    <m/>
    <m/>
    <s v="http://alerjln1.alerj.rj.gov.br/scpro2327.nsf/18c1dd68f96be3e7832566ec0018d833/e68294a2c12d046b03258a520061622c?OpenDocument"/>
  </r>
  <r>
    <x v="0"/>
    <m/>
    <s v="3502/2024"/>
    <s v="ESTABELECE O DIREITO DE PROVOCAÇÃO PARA REVISÃO DE PENSÃO PARA OS BENEFICIÁRIOS DE POLICIAIS MILITARES E BOMBEIROS MILITARES COM ÓBITO ATÉ O DIA 20 DE FEVEREIRO DE 2004, NA FORMAQUE MENCIONA."/>
    <s v="MARCELO DINO"/>
    <x v="1"/>
    <x v="3"/>
    <s v="26/02/2026"/>
    <s v="8ªRE _x000a_16/12/2025"/>
    <d v="2025-10-16T00:00:00"/>
    <d v="2025-10-23T00:00:00"/>
    <d v="2025-11-25T00:00:00"/>
    <m/>
    <m/>
    <m/>
    <m/>
    <x v="1"/>
    <m/>
    <m/>
    <m/>
    <m/>
    <s v="http://alerjln1.alerj.rj.gov.br/scpro2327.nsf/18c1dd68f96be3e7832566ec0018d833/bc3ece539bd22ac703258b1600644898?OpenDocument"/>
  </r>
  <r>
    <x v="0"/>
    <m/>
    <s v="3685/2017"/>
    <s v="ALTERA A LEI N° 7.106, DE 18 DE NOVEMBRO DE 2015, PARA DISPOR SOBRE O PROGRAMA DE REDISTRIBUIÇÃO DE ALIMENTOS EXCEDENTES, NA FORMA QUE MENCIONA."/>
    <s v="ÁTILA NUNES"/>
    <x v="6"/>
    <x v="3"/>
    <s v="07/01/2026"/>
    <s v="8ªRE _x000a_16/12/2025"/>
    <d v="2025-10-22T00:00:00"/>
    <d v="2025-10-23T00:00:00"/>
    <d v="2025-12-02T00:00:00"/>
    <m/>
    <m/>
    <m/>
    <m/>
    <x v="1"/>
    <m/>
    <m/>
    <m/>
    <m/>
    <s v="http://alerjln1.alerj.rj.gov.br/scpro1519.nsf/18c1dd68f96be3e7832566ec0018d833/c316505839d3e79e832581ef0050f7ab?OpenDocument"/>
  </r>
  <r>
    <x v="0"/>
    <m/>
    <s v="3915/2018"/>
    <s v="ESTABELECE O NÚMERO DE BILHETERIAS EM FUNCIONAMENTO NA REDE METROVIÁRIA DO RIO DE JANEIRO"/>
    <s v="ZEIDAN"/>
    <x v="6"/>
    <x v="3"/>
    <s v="26/02/2026"/>
    <s v="8ªRE _x000a_16/12/2025"/>
    <d v="2025-10-22T00:00:00"/>
    <d v="2025-10-23T00:00:00"/>
    <d v="2025-12-02T00:00:00"/>
    <m/>
    <m/>
    <m/>
    <m/>
    <x v="1"/>
    <m/>
    <m/>
    <m/>
    <m/>
    <s v="http://alerjln1.alerj.rj.gov.br/scpro1519.nsf/18c1dd68f96be3e7832566ec0018d833/014f8ad0a9404bfe832582560060de1e?OpenDocument"/>
  </r>
  <r>
    <x v="0"/>
    <m/>
    <s v="1837/2020"/>
    <s v="DECLARA A REGIÃO DA COSTA VERDE COMO ÁREA ESTADUAL DE INTERESSE TURÍSTICO, NOS TERMOS DA LEI Nº 921, DE 11 DE NOVEMBRO DE 1985."/>
    <s v="ANDERSON  MORAES,ALANA PASSOS,FILIPPE POUBEL,JORGE FELIPPE NETO,MARCELO DO SEU DINO,CORONEL SALEMA,MÁRCIO GUALBERTO,DR. SERGINHO,RENATO ZACA"/>
    <x v="6"/>
    <x v="6"/>
    <m/>
    <m/>
    <d v="2025-10-22T00:00:00"/>
    <d v="2025-10-23T00:00:00"/>
    <m/>
    <m/>
    <m/>
    <m/>
    <m/>
    <x v="1"/>
    <m/>
    <m/>
    <m/>
    <m/>
    <s v="http://alerjln1.alerj.rj.gov.br/scpro1923.nsf/18c1dd68f96be3e7832566ec0018d833/b94e098a8e3378a7032585030063bfa1?OpenDocument"/>
  </r>
  <r>
    <x v="0"/>
    <m/>
    <s v="2032/2023"/>
    <s v="INSTITUI O CADASTRO UNIFICADO DE ANIMAIS DOMÉSTICOS NO ÂMBITO DO ESTADO DO RIO DE JANEIRO E DÁ OUTRAS PROVIDÊNCIAS"/>
    <s v="VITOR JUNIOR"/>
    <x v="6"/>
    <x v="3"/>
    <s v="11/02/2026"/>
    <s v="8ªRE _x000a_16/12/2025"/>
    <d v="2025-10-22T00:00:00"/>
    <d v="2025-10-23T00:00:00"/>
    <d v="2025-12-02T00:00:00"/>
    <d v="2026-02-12T00:00:00"/>
    <m/>
    <m/>
    <m/>
    <x v="0"/>
    <m/>
    <m/>
    <m/>
    <m/>
    <s v="http://alerjln1.alerj.rj.gov.br/scpro2327.nsf/18c1dd68f96be3e7832566ec0018d833/f0029602415dd62a03258a290069a8fc?OpenDocument"/>
  </r>
  <r>
    <x v="0"/>
    <m/>
    <s v="1646/2023"/>
    <s v="ALTERA A LEI ESTADUAL Nº 3.900 DE 19 DE JULHO DE 2002, QUE &quot;INSTITUI O CÓDIGO ESTADUAL DE PROTEÇÃO AOS ANIMAIS, NO ÂMBITO DO ESTADO DO RIO DE JANEIRO”."/>
    <s v="CARLINHOS BNH"/>
    <x v="8"/>
    <x v="6"/>
    <m/>
    <m/>
    <d v="2025-10-22T00:00:00"/>
    <d v="2025-10-23T00:00:00"/>
    <m/>
    <m/>
    <m/>
    <m/>
    <m/>
    <x v="1"/>
    <m/>
    <m/>
    <m/>
    <m/>
    <s v="http://alerjln1.alerj.rj.gov.br/scpro2327.nsf/18c1dd68f96be3e7832566ec0018d833/59f5f737f012d01a03258a0000617940?OpenDocument"/>
  </r>
  <r>
    <x v="0"/>
    <m/>
    <s v="1503/2023"/>
    <s v="ESTABELECE NORMAS PARA COBRANÇAS REALIZADAS POR TELEFONE A CONSUMIDORES INADIMPLENTES NO ÂMBITO DO ESTADO DO RIO DE JANEIRO"/>
    <s v="MARCIO GUALBERTO"/>
    <x v="8"/>
    <x v="23"/>
    <s v="26/02/2026"/>
    <s v="8ªRE _x000a_16/12/2025"/>
    <d v="2025-10-22T00:00:00"/>
    <d v="2025-10-23T00:00:00"/>
    <d v="2025-11-18T00:00:00"/>
    <m/>
    <m/>
    <m/>
    <m/>
    <x v="1"/>
    <m/>
    <m/>
    <m/>
    <m/>
    <s v="http://alerjln1.alerj.rj.gov.br/scpro2327.nsf/18c1dd68f96be3e7832566ec0018d833/9b7529167ba25eb5032589dc00716948?OpenDocument"/>
  </r>
  <r>
    <x v="0"/>
    <m/>
    <s v="1397/2023"/>
    <s v="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
    <s v="LUCINHA, LUIZ PAULO, Felipinho Ravis"/>
    <x v="1"/>
    <x v="3"/>
    <s v="26/02/2026"/>
    <s v="8ªRE _x000a_16/12/2025"/>
    <d v="2025-10-22T00:00:00"/>
    <d v="2025-10-23T00:00:00"/>
    <d v="2025-11-25T00:00:00"/>
    <m/>
    <m/>
    <m/>
    <m/>
    <x v="1"/>
    <m/>
    <m/>
    <m/>
    <m/>
    <s v="http://alerjln1.alerj.rj.gov.br/scpro2327.nsf/18c1dd68f96be3e7832566ec0018d833/d15daaf6117f85b50325898e00744144?OpenDocument"/>
  </r>
  <r>
    <x v="0"/>
    <m/>
    <s v="672/2023"/>
    <s v="CRIA O PROGRAMA ESTADUAL DE FOMENTO E DIFUSÃO DO FORRÓ E DÁ OUTRAS PROVIDÊNCIAS."/>
    <s v="VERONICA LIMA"/>
    <x v="8"/>
    <x v="2"/>
    <m/>
    <s v="PRÓXIMA"/>
    <d v="2025-10-22T00:00:00"/>
    <d v="2025-10-23T00:00:00"/>
    <d v="2026-03-25T00:00:00"/>
    <m/>
    <m/>
    <m/>
    <m/>
    <x v="1"/>
    <m/>
    <m/>
    <m/>
    <m/>
    <s v="http://alerjln1.alerj.rj.gov.br/scpro2327.nsf/18c1dd68f96be3e7832566ec0018d833/3c9dfe68dbe7725e032589880062f4c6?OpenDocument"/>
  </r>
  <r>
    <x v="0"/>
    <s v="2023"/>
    <s v="626/2023"/>
    <s v="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
    <s v="MARTHA ROCHA"/>
    <x v="8"/>
    <x v="46"/>
    <m/>
    <s v="PRÓXIMA"/>
    <d v="2025-10-22T00:00:00"/>
    <d v="2025-10-23T00:00:00"/>
    <d v="2026-03-25T00:00:00"/>
    <m/>
    <m/>
    <m/>
    <m/>
    <x v="1"/>
    <m/>
    <m/>
    <m/>
    <m/>
    <s v="http://alerjln1.alerj.rj.gov.br/scpro2327.nsf/18c1dd68f96be3e7832566ec0018d833/bf2050b8c439f6c60325898700498241?OpenDocument"/>
  </r>
  <r>
    <x v="0"/>
    <s v="2023"/>
    <s v="153/2023"/>
    <s v="ALTERA A LEI Nº 6.226, DE 24 DE ABRIL DE 2012, PARA DETERMINAR A INSTALAÇÃO DE CABINES INDIVIDUAIS DE MATERIAL OPACO NOS CAIXAS DE ATEDNIMENTO PRESENCIAL E CAIXAS ELETRÔNICOS DE TODAS AS AGÊNCIAS BANCÁRIAS E INSTITUIÇÕES FINANCEIRAS COM ATUAÇÃO NO ESTADO DO RIO DE JANEIRO."/>
    <s v="MÁRCIO CANELLA"/>
    <x v="8"/>
    <x v="47"/>
    <m/>
    <s v="PRÓXIMA"/>
    <d v="2025-10-22T00:00:00"/>
    <d v="2025-10-23T00:00:00"/>
    <d v="2026-02-26T00:00:00"/>
    <m/>
    <m/>
    <m/>
    <m/>
    <x v="1"/>
    <m/>
    <m/>
    <m/>
    <m/>
    <s v="http://alerjln1.alerj.rj.gov.br/scpro2327.nsf/18c1dd68f96be3e7832566ec0018d833/259570fc89859f270325894f00525c60?OpenDocument"/>
  </r>
  <r>
    <x v="0"/>
    <s v="2024"/>
    <s v="3472/2024"/>
    <s v="DETERMINA QUE HOSPITAIS, CLÍNICAS, CENTROS DE IMAGENS E LABORATÓRIOS SEDIADOS NO ESTADO DO RIO DE JANEIRO COMUNIQUEM PREVIAMENTE AO PACIENTE O CANCELAMENTO DO EXAME AGENDADO."/>
    <s v="CARLA MACHADO"/>
    <x v="8"/>
    <x v="6"/>
    <m/>
    <m/>
    <d v="2025-10-22T00:00:00"/>
    <d v="2025-10-23T00:00:00"/>
    <m/>
    <m/>
    <m/>
    <m/>
    <m/>
    <x v="1"/>
    <m/>
    <m/>
    <m/>
    <m/>
    <s v="http://alerjln1.alerj.rj.gov.br/scpro2327.nsf/18c1dd68f96be3e7832566ec0018d833/8324aeedecc7c7f603258b0a005c9990?OpenDocument"/>
  </r>
  <r>
    <x v="0"/>
    <s v="2023"/>
    <s v="1359/2023"/>
    <s v="DISPÕE SOBRE A INCLUSÃO DE VAGAS PRIORITÁRIA NO PROGRAMA JOVEM APRENDIZ PARA ÓRFÃOS ABRIGADOS COM 18 ANOS QUE NÃO TENHAM SIDO ADOTADOS."/>
    <s v="CHICO MACHADO"/>
    <x v="8"/>
    <x v="23"/>
    <s v="26/02/2026"/>
    <s v="8ªRE _x000a_16/12/2025"/>
    <d v="2025-10-22T00:00:00"/>
    <d v="2025-10-23T00:00:00"/>
    <d v="2025-11-18T00:00:00"/>
    <m/>
    <m/>
    <m/>
    <m/>
    <x v="1"/>
    <m/>
    <m/>
    <m/>
    <m/>
    <s v="http://alerjln1.alerj.rj.gov.br/scpro2327.nsf/18c1dd68f96be3e7832566ec0018d833/dcdfb36101867b00032589d4005810a2?OpenDocument"/>
  </r>
  <r>
    <x v="0"/>
    <s v="2023"/>
    <s v="557/2023"/>
    <s v="ALTERA A REDAÇÃO DA LEI Nº 8.552/2019, DE 08 DE OUTUBRO DE 2019 QUE DISCIPLINA O SERVIÇO DE TRANSPORTE PARTICULAR DE PASSAGEIROS POR APLICATIVO E DÁ OUTRAS PROVIDÊNCIAS."/>
    <s v="BRAZAO, Rosenverg Reis"/>
    <x v="1"/>
    <x v="2"/>
    <s v="23/12/2025"/>
    <s v="8ªRE _x000a_16/12/2025"/>
    <d v="2025-10-22T00:00:00"/>
    <d v="2025-10-23T00:00:00"/>
    <d v="2025-11-25T00:00:00"/>
    <m/>
    <m/>
    <m/>
    <m/>
    <x v="1"/>
    <m/>
    <m/>
    <m/>
    <m/>
    <s v="http://alerjln1.alerj.rj.gov.br/scpro2327.nsf/18c1dd68f96be3e7832566ec0018d833/9f31f08e05c6fcbe03258980004d36b2?OpenDocument"/>
  </r>
  <r>
    <x v="0"/>
    <s v="2023"/>
    <s v="455/2023"/>
    <s v="DISPÕE SOBRE O FORNECIMENTO DE  PROTETORES AURICULARES PARA AS PESSOAS COM TRANSTORNO DE ESPECTRO AUTISTA – TEA, QUE POSSUEM HIPERSENSIBILIDADE AUDITIVA, NOS ESTABELECIMENTOS QUE MENCIONA."/>
    <s v="LUIZ CLAUDIO RIBEIRO"/>
    <x v="1"/>
    <x v="3"/>
    <s v="05/03/2026"/>
    <s v="8ªRE _x000a_16/12/2025"/>
    <d v="2025-10-22T00:00:00"/>
    <d v="2025-10-23T00:00:00"/>
    <d v="2025-11-25T00:00:00"/>
    <d v="2026-03-05T00:00:00"/>
    <m/>
    <m/>
    <m/>
    <x v="0"/>
    <m/>
    <m/>
    <m/>
    <m/>
    <s v="http://alerjln1.alerj.rj.gov.br/scpro2327.nsf/18c1dd68f96be3e7832566ec0018d833/00b217421106748d032589740060394c?OpenDocument"/>
  </r>
  <r>
    <x v="0"/>
    <s v="2021"/>
    <s v="3653/2021"/>
    <s v="DISPÕE SOBRE A NOTIFICAÇÃO COMPULSÓRIA DE TODOS OS CASOS CONFIRMADOS DE ESPOROTRICOSE, NO ÂMBITO DO ESTADO DO RIO DE JANEIRO."/>
    <s v="ROSENVERG REIS"/>
    <x v="2"/>
    <x v="24"/>
    <s v="05/03/2026"/>
    <s v="8ªRE _x000a_16/12/2025"/>
    <d v="2025-11-04T00:00:00"/>
    <d v="2025-11-13T00:00:00"/>
    <d v="2025-11-17T00:00:00"/>
    <d v="2026-03-05T00:00:00"/>
    <m/>
    <m/>
    <m/>
    <x v="0"/>
    <m/>
    <m/>
    <m/>
    <m/>
    <s v="http://alerjln1.alerj.rj.gov.br/scpro1923.nsf/18c1dd68f96be3e7832566ec0018d833/3bb655cc94be03a50325867f00585a42?OpenDocument"/>
  </r>
  <r>
    <x v="0"/>
    <s v="2023"/>
    <s v="407/2023"/>
    <s v="DISPÕE SOBRE A IMPLANTAÇÃO DO PROGRAMA CARTÃO - RAÇÃO VOLUNTÁRIA, NO ÂMBITO DO ESTADO DO RIO DE JANEIRO."/>
    <s v="ROSENVERG REIS"/>
    <x v="2"/>
    <x v="3"/>
    <s v="05/03/2026"/>
    <s v="8ªRE _x000a_16/12/2025"/>
    <d v="2025-11-04T00:00:00"/>
    <d v="2025-11-13T00:00:00"/>
    <d v="2025-11-17T00:00:00"/>
    <d v="2026-03-05T00:00:00"/>
    <m/>
    <m/>
    <m/>
    <x v="0"/>
    <m/>
    <m/>
    <m/>
    <m/>
    <s v="http://alerjln1.alerj.rj.gov.br/scpro2327.nsf/18c1dd68f96be3e7832566ec0018d833/1a77ff5e91f9432003258972005428b2?OpenDocument"/>
  </r>
  <r>
    <x v="0"/>
    <s v="2023"/>
    <s v="1756/2023"/>
    <s v="ALTERA A LEI ESTADUAL Nº 2403 DE 24 DE MAIO DE 1995, ALTERADA PELA ESTADUAL LEI Nº 7048 DE 24 DE JULHO DE 2015, QUE “VEDA A FABRICAÇÃO, A VENDA, A COMERCIALIZAÇÃO, O TRANSPORTE E A DISTRIBUIÇÃO DE BRINQUEDOS, RÉPLICAS OU SIMULACROS DE ARMAS DE FOGO, QUE COM ELAS POSSAM SE CONFUNDIR E INSTITUI A SEMANA DO DESARMAMENTO INFANTIL, NO ÂMBITO DO ESTADO DO RIO DE JANEIRO”."/>
    <s v="CARLINHOS BNH"/>
    <x v="2"/>
    <x v="24"/>
    <s v="05/03/2026"/>
    <s v="8ªRE _x000a_16/12/2025"/>
    <d v="2025-11-04T00:00:00"/>
    <d v="2025-11-13T00:00:00"/>
    <d v="2025-11-17T00:00:00"/>
    <d v="2026-03-05T00:00:00"/>
    <m/>
    <m/>
    <m/>
    <x v="0"/>
    <m/>
    <m/>
    <m/>
    <m/>
    <s v="http://alerjln1.alerj.rj.gov.br/scpro2327.nsf/18c1dd68f96be3e7832566ec0018d833/1f7526cbded7d90003258a0c0065bde7?OpenDocument"/>
  </r>
  <r>
    <x v="0"/>
    <s v="2024"/>
    <s v="3419/2024"/>
    <s v="DISPÕE SOBRE O RECONHECIMENTO DA ROBÓTICA COMO ESPORTE DE COMPETIÇÃO E DE RELEVÂNCIA EDUCACIONAL NO ÂMBITO DO ESTADO DO RIO DE JANEIRO."/>
    <s v="FELIPINHO RAVIS"/>
    <x v="2"/>
    <x v="3"/>
    <s v="05/03/2026"/>
    <s v="8ªRE _x000a_16/12/2025"/>
    <d v="2025-11-04T00:00:00"/>
    <d v="2025-11-13T00:00:00"/>
    <d v="2025-11-17T00:00:00"/>
    <d v="2026-03-05T00:00:00"/>
    <m/>
    <m/>
    <m/>
    <x v="0"/>
    <m/>
    <m/>
    <m/>
    <m/>
    <s v="http://alerjln1.alerj.rj.gov.br/scpro2327.nsf/18c1dd68f96be3e7832566ec0018d833/c7096baa707e6f5f03258b0300607e9d?OpenDocument"/>
  </r>
  <r>
    <x v="0"/>
    <s v="2024"/>
    <s v="4007/2024"/>
    <s v="ESTABELECE DIRETRIZES PARA A FIXAÇÃO  DE SINALIZADORES QUE IDENTIFIQUEM A PRESENÇA DE PESSOAS COM ESPECTRO AUTISTA – TEA EM QUARTOS OU ENFERMARIAS DE ESTABELECIMENTOS HOSPITALARES, EM CASO DE INTERNAÇÃO, NO ÂMBITO DO ESTADO DO RIO DE JANEIRO, E DÁ OUTRAS PROVIDÊNCIAS."/>
    <s v="BRAZAO"/>
    <x v="2"/>
    <x v="2"/>
    <s v="05/03/2026"/>
    <s v="8ªRE _x000a_16/12/2025"/>
    <d v="2025-11-06T00:00:00"/>
    <d v="2025-11-13T00:00:00"/>
    <d v="2025-11-17T00:00:00"/>
    <d v="2026-03-05T00:00:00"/>
    <m/>
    <m/>
    <m/>
    <x v="0"/>
    <m/>
    <m/>
    <m/>
    <m/>
    <s v="http://alerjln1.alerj.rj.gov.br/scpro2327.nsf/18c1dd68f96be3e7832566ec0018d833/c4062086244fc1c503258b790064d859?OpenDocument"/>
  </r>
  <r>
    <x v="0"/>
    <s v="2021"/>
    <s v="EP 4209/2021"/>
    <s v="DISPÕE SOBRE A IMPLEMENTAÇÃO DO PROGRAMA “TATUANDO PELA VIDA” NO SISTEMA DE SAÚDE DO ESTADO DO RIO DE JANEIRO, QUE POSSUAM SERVIÇOS DE SÁUDE RELACIONADOS AO CÂNCER E AO TRATAMENTO DE QUEIMADURAS."/>
    <s v="MARCELO DINO"/>
    <x v="3"/>
    <x v="6"/>
    <m/>
    <m/>
    <d v="2025-11-13T00:00:00"/>
    <d v="2026-02-09T00:00:00"/>
    <m/>
    <m/>
    <m/>
    <m/>
    <m/>
    <x v="3"/>
    <m/>
    <m/>
    <m/>
    <m/>
    <s v="http://alerjln1.alerj.rj.gov.br/scpro1923.nsf/18c1dd68f96be3e7832566ec0018d833/6facdabccc844f29032586db00598a17?OpenDocument"/>
  </r>
  <r>
    <x v="0"/>
    <s v="2023"/>
    <s v="1412/2023"/>
    <s v="INSTITUI A CAMPANHA CHECK-UP FEMININO PARA ORIENTAÇÃO E PREVENÇÃO DE DOENÇAS NO ESTADO DO RIO DE JANEIRO E DÁ OUTRAS PROVIDÊNCIAS."/>
    <s v="FELIPINHO RAVIS"/>
    <x v="3"/>
    <x v="6"/>
    <m/>
    <m/>
    <d v="2025-11-13T00:00:00"/>
    <d v="2026-02-09T00:00:00"/>
    <m/>
    <m/>
    <m/>
    <m/>
    <m/>
    <x v="3"/>
    <m/>
    <m/>
    <m/>
    <m/>
    <s v="http://alerjln1.alerj.rj.gov.br/scpro2327.nsf/18c1dd68f96be3e7832566ec0018d833/eebeac140ef5ea92032589d50049407f?OpenDocument"/>
  </r>
  <r>
    <x v="0"/>
    <s v="2024"/>
    <s v="3392/2024"/>
    <s v="INSTITUI A POLÍTICA ESTADUAL DE ATENÇÃO INTEGRAL ÀS DOENÇAS RESPIRATÓRIAS, NO ÂMBITO DO ESTADO DO RIO DE JANEIRO."/>
    <s v="RENATO MIRANDA"/>
    <x v="3"/>
    <x v="6"/>
    <m/>
    <m/>
    <d v="2025-11-13T00:00:00"/>
    <d v="2026-02-09T00:00:00"/>
    <m/>
    <m/>
    <m/>
    <m/>
    <m/>
    <x v="3"/>
    <m/>
    <m/>
    <m/>
    <m/>
    <s v="http://alerjln1.alerj.rj.gov.br/scpro2327.nsf/18c1dd68f96be3e7832566ec0018d833/b5a873759aadd1ea03258b020056027a?OpenDocument"/>
  </r>
  <r>
    <x v="0"/>
    <s v="2024"/>
    <s v="3718/2024"/>
    <s v="INSTITUI O PROGRAMA DE AMPLIAÇÃO DA OFERTA DE EXAMES NAS CLÍNICAS PÚBLICAS ESPECIALIZADAS NA SAÚDE DA MULHER NO ÂMBITO DO ESTADO DO RIO DE JANEIRO."/>
    <s v="BRAZAO"/>
    <x v="0"/>
    <x v="6"/>
    <m/>
    <s v="PRÓXIMA"/>
    <d v="2025-11-13T00:00:00"/>
    <d v="2026-03-18T00:00:00"/>
    <d v="2026-03-19T00:00:00"/>
    <m/>
    <m/>
    <m/>
    <m/>
    <x v="3"/>
    <s v="Estava com a Zeidan, desde 09/02/2026, porém foi transferido (a pedido) para o Presidente"/>
    <m/>
    <m/>
    <m/>
    <s v="http://alerjln1.alerj.rj.gov.br/scpro2327.nsf/18c1dd68f96be3e7832566ec0018d833/a306df4daa8975fc03258b390047aced?OpenDocument"/>
  </r>
  <r>
    <x v="0"/>
    <s v="2021"/>
    <s v="EP 4066/2021"/>
    <s v="INSTITUI O PROGRAMA “JOVEM DOADOR” NAS ESCOLAS ESTADUAIS DO ESTADO DO RIO DE JANEIRO"/>
    <s v="MARCELO DINO"/>
    <x v="3"/>
    <x v="6"/>
    <m/>
    <m/>
    <d v="2025-11-24T00:00:00"/>
    <d v="2026-02-09T00:00:00"/>
    <m/>
    <m/>
    <m/>
    <m/>
    <m/>
    <x v="3"/>
    <m/>
    <m/>
    <m/>
    <m/>
    <s v="http://alerjln1.alerj.rj.gov.br/scpro1923.nsf/b6d41cbe40ad05e2832566ec0018d81b/7d1abddebac3bcf5032587260070fc74?OpenDocument"/>
  </r>
  <r>
    <x v="0"/>
    <s v="2022"/>
    <s v="5631/2022"/>
    <s v="DISPÕE SOBRE CAMPANHA ESTADUAL DE COLETA DE DNA DE PESSOAS VIVAS SEM IDENTIFICAÇÃO."/>
    <s v="MARTHA ROCHA"/>
    <x v="3"/>
    <x v="6"/>
    <m/>
    <m/>
    <d v="2025-11-24T00:00:00"/>
    <d v="2026-02-09T00:00:00"/>
    <m/>
    <m/>
    <m/>
    <m/>
    <m/>
    <x v="3"/>
    <m/>
    <m/>
    <m/>
    <m/>
    <s v="http://alerjln1.alerj.rj.gov.br/scpro1923.nsf/18c1dd68f96be3e7832566ec0018d833/b292689ddd324aa50325880d00529281?OpenDocument"/>
  </r>
  <r>
    <x v="0"/>
    <s v="2023"/>
    <s v="401/2023"/>
    <s v="INSTITUI O PROGRAMA DE CONSCIENTIZAÇÃO E PREVENÇÃO CONTRA O ETARISMO NAS UNIDADES DE ENSINO DA REDE PÚBLICA DO ESTADO DO RIO DE JANEIRO."/>
    <s v="LUIZ CLAUDIO RIBEIRO"/>
    <x v="3"/>
    <x v="6"/>
    <m/>
    <m/>
    <d v="2025-11-24T00:00:00"/>
    <d v="2026-02-09T00:00:00"/>
    <m/>
    <m/>
    <m/>
    <m/>
    <m/>
    <x v="3"/>
    <m/>
    <m/>
    <m/>
    <m/>
    <s v="http://alerjln1.alerj.rj.gov.br/scpro2327.nsf/18c1dd68f96be3e7832566ec0018d833/16cd4595ba786d5c03258972004d6b55?OpenDocument"/>
  </r>
  <r>
    <x v="0"/>
    <m/>
    <s v="598/2023"/>
    <s v="ALTERA O INCISO XV DO ARTIGO 2º DA LEI N.º 9.295 DE 2021."/>
    <s v="RODRIGO AMORIM"/>
    <x v="3"/>
    <x v="6"/>
    <m/>
    <m/>
    <d v="2025-11-24T00:00:00"/>
    <d v="2026-02-09T00:00:00"/>
    <m/>
    <m/>
    <m/>
    <m/>
    <m/>
    <x v="3"/>
    <m/>
    <m/>
    <m/>
    <m/>
    <s v="http://alerjln1.alerj.rj.gov.br/scpro2327.nsf/18c1dd68f96be3e7832566ec0018d833/5d797cd07f204bd2032589810055b68b?OpenDocument"/>
  </r>
  <r>
    <x v="0"/>
    <m/>
    <s v="1708/2023"/>
    <s v="ALTERA A LEI ESTADUAL Nº 1340, DE 23 DE AGOSTO DE 1988, QUE “DISPÕE SOBRE A CRIAÇÃO DE DELEGACIA ESPECIALIZADA DE ATENDIMENTO À MULHER”, NA FORMA EM QUE MENCIONA."/>
    <s v="ROSENVERG REIS"/>
    <x v="3"/>
    <x v="6"/>
    <m/>
    <m/>
    <d v="2025-11-24T00:00:00"/>
    <d v="2026-02-09T00:00:00"/>
    <m/>
    <m/>
    <m/>
    <m/>
    <m/>
    <x v="3"/>
    <m/>
    <m/>
    <m/>
    <m/>
    <s v="http://alerjln1.alerj.rj.gov.br/scpro2327.nsf/18c1dd68f96be3e7832566ec0018d833/259430fd2610e43703258a06005f9919?OpenDocument"/>
  </r>
  <r>
    <x v="0"/>
    <m/>
    <s v="1737/2023"/>
    <s v="INSTITUI O PROGRAMA PARA ATENDIMENTO DE ÓRFÃOS DE SERVIDORES PÚBLICOS INTEGRANTE DAS CARREIRAS DA SEGURANÇA PÚBLICA, MORTOS EM SERVIÇO OU EM RAZÃO DELE NO ESTADO DO RIO DE JANEIRO."/>
    <s v="RODRIGO BACELLAR"/>
    <x v="3"/>
    <x v="6"/>
    <m/>
    <m/>
    <d v="2025-11-24T00:00:00"/>
    <d v="2026-02-09T00:00:00"/>
    <m/>
    <m/>
    <m/>
    <m/>
    <m/>
    <x v="3"/>
    <m/>
    <m/>
    <m/>
    <m/>
    <s v="http://alerjln1.alerj.rj.gov.br/scpro2327.nsf/18c1dd68f96be3e7832566ec0018d833/ffc63e2626b7668003258a0c005c84b3?OpenDocument"/>
  </r>
  <r>
    <x v="0"/>
    <m/>
    <s v="2623/2023"/>
    <s v="INSTITUI O PROGRAMA DE APADRINHAMENTO PARA CRIANÇAS E ADOLESCENTES NO ESTADO DO RIO DE JANEIRO, VISANDO PROMOVER RELAÇÕES POSITIVAS E ORIENTAÇÃO INDIVIDUALIZADA PARA O DESENVOLVIMENTO INTEGRAL DAS CRIANÇAS EM SITUAÇÕES DESAFIADORAS."/>
    <s v="VINICIUS COZZOLINO"/>
    <x v="3"/>
    <x v="6"/>
    <m/>
    <m/>
    <d v="2025-11-24T00:00:00"/>
    <d v="2026-02-09T00:00:00"/>
    <m/>
    <m/>
    <m/>
    <m/>
    <m/>
    <x v="3"/>
    <m/>
    <m/>
    <m/>
    <m/>
    <s v="http://alerjln1.alerj.rj.gov.br/scpro2327.nsf/18c1dd68f96be3e7832566ec0018d833/a7daabfea71b1a5003258a4b0061096c?OpenDocument"/>
  </r>
  <r>
    <x v="0"/>
    <m/>
    <s v="3393/2024"/>
    <s v="DISPÕE SOBRE TRANSFERÊNCIA E MATRÍCULA PARA CRIANÇAS E ADOLESCENTES EM MEDIDA DE PROTEÇÃO DE ACOLHIMENTO"/>
    <s v="MUNIR NETO"/>
    <x v="3"/>
    <x v="6"/>
    <m/>
    <m/>
    <d v="2025-11-24T00:00:00"/>
    <d v="2026-02-09T00:00:00"/>
    <m/>
    <m/>
    <m/>
    <m/>
    <m/>
    <x v="3"/>
    <m/>
    <m/>
    <m/>
    <m/>
    <s v="http://alerjln1.alerj.rj.gov.br/scpro2327.nsf/18c1dd68f96be3e7832566ec0018d833/82056bd6e5ba7e8303258b0000549cc2?OpenDocument"/>
  </r>
  <r>
    <x v="0"/>
    <m/>
    <s v="4639/2025"/>
    <s v="DISPÕE SOBRE A OBRIGATORIEDADE DOS ESTABELECIMENTOS DE SAÚDE, PÚBLICOS OU PRIVADOS, DE COMUNICAR O CONSELHO TUTELAR NOS CASOS DE ALTA HOSPITALAR DE RECÉM-NASCIDOS SEM A EMISSÃO DA CERTIDÃO DE NASCIMENTO, E DÁ OUTRAS PROVIDÊNCIAS."/>
    <s v="VINICIUS COZZOLINO"/>
    <x v="3"/>
    <x v="6"/>
    <m/>
    <m/>
    <d v="2025-11-24T00:00:00"/>
    <d v="2026-02-09T00:00:00"/>
    <m/>
    <m/>
    <m/>
    <m/>
    <m/>
    <x v="3"/>
    <m/>
    <m/>
    <m/>
    <m/>
    <s v="http://alerjln1.alerj.rj.gov.br/scpro2327.nsf/18c1dd68f96be3e7832566ec0018d833/a61b191cc198a84a03258c0e00769ef1?OpenDocument"/>
  </r>
  <r>
    <x v="0"/>
    <m/>
    <s v="3738/2021"/>
    <s v="DISPÕE SOBRE A COMUNICAÇÃO DA NÃO OBRIGATORIEDADE DE INFORMAR O NÚMERO DE DOCUMENTOS NA REALIZAÇÃO DE COMPRA EM ESTABELECIMENTOS COMERCIAIS"/>
    <s v="MARTHA ROCHA"/>
    <x v="6"/>
    <x v="3"/>
    <s v="11/02/2026"/>
    <s v="8ªRE _x000a_16/12/2025"/>
    <m/>
    <m/>
    <d v="2025-12-02T00:00:00"/>
    <d v="2026-02-12T00:00:00"/>
    <m/>
    <m/>
    <m/>
    <x v="0"/>
    <m/>
    <m/>
    <m/>
    <m/>
    <s v="http://alerjln1.alerj.rj.gov.br/scpro1923.nsf/18c1dd68f96be3e7832566ec0018d833/42a95b27b86a50b003258687005fa85e?OpenDocument"/>
  </r>
  <r>
    <x v="0"/>
    <m/>
    <s v="3895/2021"/>
    <s v="DISPÕE SOBRE O CADASTRO ÚNICO PARA PROGRAMAS SOCIAIS DO GOVERNO DO ESTADO DO RIO DE JANEIRO – CADÚNICORJ"/>
    <s v="MARTHA ROCHA"/>
    <x v="8"/>
    <x v="6"/>
    <m/>
    <m/>
    <d v="2025-12-08T00:00:00"/>
    <d v="2026-05-26T00:00:00"/>
    <m/>
    <m/>
    <m/>
    <m/>
    <m/>
    <x v="1"/>
    <s v="Retirei do gab. Do relator Vinícius Cozzolino, relatoria em 26/03/2026, pois mudou a composição da Com."/>
    <m/>
    <m/>
    <m/>
    <s v="http://alerjln1.alerj.rj.gov.br/scpro1923.nsf/18c1dd68f96be3e7832566ec0018d833/862e6816e766f7700325869c005d6f80?OpenDocument"/>
  </r>
  <r>
    <x v="0"/>
    <m/>
    <s v="6007/2022"/>
    <s v="AUTORIZA O PODER EXECUTIVO A IMPLANTAR POLOS REGIONAIS DE PROTEÇÃO À FAUNA SILVESTRE E DOMÉSTICA E DÁ OUTRAS PROVIDÊNCIAS."/>
    <s v="NOEL DE CARVALHO"/>
    <x v="2"/>
    <x v="6"/>
    <m/>
    <m/>
    <d v="2025-12-08T00:00:00"/>
    <d v="2026-02-09T00:00:00"/>
    <m/>
    <m/>
    <m/>
    <m/>
    <m/>
    <x v="3"/>
    <m/>
    <m/>
    <m/>
    <m/>
    <s v="http://alerjln1.alerj.rj.gov.br/scpro1923.nsf/18c1dd68f96be3e7832566ec0018d833/38b6b23f3e302c9b0325884e0053ee49?OpenDocument"/>
  </r>
  <r>
    <x v="0"/>
    <m/>
    <s v="73/2023"/>
    <s v="INSTITUI A POLÍTICA ESTADUAL DE PREVENÇÃO ÀS REMOÇÕES E OS DESPEJOS NO ESTADO DO RIO DE JANEIRO, E DÁ OUTRAS PROVIDÊNCIAS."/>
    <s v="VERONICA LIMA"/>
    <x v="2"/>
    <x v="6"/>
    <m/>
    <m/>
    <d v="2025-12-08T00:00:00"/>
    <d v="2026-02-09T00:00:00"/>
    <m/>
    <m/>
    <m/>
    <m/>
    <m/>
    <x v="3"/>
    <m/>
    <m/>
    <m/>
    <m/>
    <s v="http://alerjln1.alerj.rj.gov.br/scpro2327.nsf/18c1dd68f96be3e7832566ec0018d833/84f5930dca65d797032589490069f9f6?OpenDocument"/>
  </r>
  <r>
    <x v="0"/>
    <m/>
    <s v="387/2023"/>
    <s v="ESTABELECE CRITÉRIOS E OBRIGAÇÕES PARA FIXAÇÃO DE MAPAS DAS REDES DE TRANSPORTES METROPOLITANOS DE MÉDIA E ALTA CAPACIDADE, INCLUINDO OS MAPAS DAS REDES METROVIÁRIAS E FERROVIÁRIAS NO ESTADO DO RIO DE JANEIRO E DÁ OUTRAS PROVIDÊNCIAS."/>
    <s v="CLAUDIO CAIADO"/>
    <x v="2"/>
    <x v="6"/>
    <m/>
    <m/>
    <d v="2025-12-08T00:00:00"/>
    <d v="2026-02-09T00:00:00"/>
    <m/>
    <m/>
    <m/>
    <m/>
    <m/>
    <x v="3"/>
    <m/>
    <m/>
    <m/>
    <m/>
    <s v="http://alerjln1.alerj.rj.gov.br/scpro2327.nsf/18c1dd68f96be3e7832566ec0018d833/8f89b3502b489f240325896b0057f088?OpenDocument"/>
  </r>
  <r>
    <x v="0"/>
    <m/>
    <s v="1127/2023"/>
    <s v="AUTORIZA A CRIAÇÃO DO FUNDO ESTADUAL DE ILUMINAÇÃO PÚBLICA NO ESTADO DO RIO DE JANEIRO."/>
    <s v="VINICIUS COZZOLINO"/>
    <x v="2"/>
    <x v="6"/>
    <m/>
    <m/>
    <d v="2025-12-08T00:00:00"/>
    <d v="2026-02-09T00:00:00"/>
    <m/>
    <m/>
    <m/>
    <m/>
    <m/>
    <x v="3"/>
    <m/>
    <m/>
    <m/>
    <m/>
    <s v="http://alerjln1.alerj.rj.gov.br/scpro2327.nsf/18c1dd68f96be3e7832566ec0018d833/fa1be7d2b0b19c8c032589b8005ca1e0?OpenDocument"/>
  </r>
  <r>
    <x v="0"/>
    <m/>
    <s v="1621/2023"/>
    <s v="DISPÕE SOBRE A IMPLANTAÇÃO DE PROGRAMA DE ROTINA DE SEGURANÇA, “SAÚDE SEGURA”, NAS UNIDADES DE SAÚDE PÚBLICA, NO ÂMBITO DO ESTADO DO RIO DE JANEIRO E DÁ OUTRAS PROVIDÊNCIAS."/>
    <s v="PEDRO RICARDO"/>
    <x v="1"/>
    <x v="48"/>
    <m/>
    <s v="PRÓXIMA"/>
    <d v="2025-12-08T00:00:00"/>
    <d v="2026-02-09T00:00:00"/>
    <d v="2026-02-26T00:00:00"/>
    <m/>
    <m/>
    <m/>
    <m/>
    <x v="1"/>
    <m/>
    <m/>
    <m/>
    <m/>
    <s v="http://alerjln1.alerj.rj.gov.br/scpro2327.nsf/18c1dd68f96be3e7832566ec0018d833/17679c4197fef960032589ff0041eb3d?OpenDocument"/>
  </r>
  <r>
    <x v="0"/>
    <m/>
    <s v="1651/2023"/>
    <s v="DISPÕE SOBRE A INCLUSÃO DE INFORMAÇÕES SOBRE OS SINTOMAS DO TRANSTORNO DO ESPECTRO AUTISTA (TEA) NA CARTEIRA DE VACINAÇÃO E DÁ OUTRAS PROVIDÊNCIAS."/>
    <s v="FRED PACHECO"/>
    <x v="1"/>
    <x v="49"/>
    <m/>
    <s v="PRÓXIMA"/>
    <d v="2025-12-08T00:00:00"/>
    <d v="2026-02-09T00:00:00"/>
    <d v="2026-02-26T00:00:00"/>
    <m/>
    <m/>
    <m/>
    <m/>
    <x v="1"/>
    <m/>
    <m/>
    <m/>
    <m/>
    <s v="http://alerjln1.alerj.rj.gov.br/scpro2327.nsf/18c1dd68f96be3e7832566ec0018d833/30b294edd094ff2a03258a0000528ef5?OpenDocument"/>
  </r>
  <r>
    <x v="0"/>
    <m/>
    <s v="1764/2023"/>
    <s v="DISPÕE SOBRE A CRIAÇÃO DO PROGRAMA DE PROTEÇÃO E ATENDIMENTO À PESSOA IDOSA  “PATRULHA DA PESSOA IDOSA” NO ÂMBITO DO ESTADO RIO DE JANEIRO E DÁ OUTRAS PROVIDÊNCIAS."/>
    <s v="MUNIR NETO"/>
    <x v="2"/>
    <x v="6"/>
    <m/>
    <m/>
    <d v="2025-12-08T00:00:00"/>
    <d v="2026-02-09T00:00:00"/>
    <m/>
    <m/>
    <m/>
    <m/>
    <m/>
    <x v="3"/>
    <m/>
    <m/>
    <m/>
    <m/>
    <s v="http://alerjln1.alerj.rj.gov.br/scpro2327.nsf/18c1dd68f96be3e7832566ec0018d833/c3aa7012a79d413803258a0d005c0ec5?OpenDocument"/>
  </r>
  <r>
    <x v="0"/>
    <m/>
    <s v="1998/2023"/>
    <s v="INSTITUI O PROGRAMA DE ACESSO AUDIOVISUAL NO ESTADO DO RIO DE JANEIRO, ESTABELECE NORMAS PARA O SEU FUNCIONAMENTO, E DÁ OUTRAS PROVIDÊNCIAS."/>
    <s v="VERONICA LIMA"/>
    <x v="2"/>
    <x v="6"/>
    <m/>
    <m/>
    <d v="2025-12-08T00:00:00"/>
    <d v="2026-02-09T00:00:00"/>
    <m/>
    <m/>
    <m/>
    <m/>
    <m/>
    <x v="3"/>
    <m/>
    <m/>
    <m/>
    <m/>
    <s v="http://alerjln1.alerj.rj.gov.br/scpro2327.nsf/18c1dd68f96be3e7832566ec0018d833/91f11028c66dd14903258a220064e544?OpenDocument"/>
  </r>
  <r>
    <x v="0"/>
    <m/>
    <s v="4965/2025"/>
    <s v="DISPÕE SOBRE A REVITALIZAÇÃO E MANUTENÇÃO DE CAMPOS PÚBLICOS DESTINADOS À PRÁTICA DO FUTEBOL AMADOR NO ESTADO DO RIO DE JANEIRO E ESTABELECE DIRETRIZES PARA SUA GESTÃO."/>
    <s v="VAL CEASA"/>
    <x v="2"/>
    <x v="6"/>
    <m/>
    <m/>
    <d v="2025-12-08T00:00:00"/>
    <d v="2026-02-09T00:00:00"/>
    <m/>
    <m/>
    <m/>
    <m/>
    <m/>
    <x v="3"/>
    <m/>
    <m/>
    <m/>
    <m/>
    <s v="http://alerjln1.alerj.rj.gov.br/scpro2327.nsf/18c1dd68f96be3e7832566ec0018d833/aba80bd61b8a024603258c52004e598b?OpenDocument"/>
  </r>
  <r>
    <x v="0"/>
    <m/>
    <s v="EP 2416/2017"/>
    <s v="ALTERA A LEI Nº 4.496, DE 03 DE JANEIRO DE 2005, PARA TORNAR OBRIGATÓRIA A REALIZAÇÃO EXAMES OFTALMOLÓGICO E OTORRINOLARINGOLÓGICO NAS ESCOLAS DE NÍVEL FUNDAMENTAL E MÉDIO DA REDE PÚBLICA E PRIVADA DE ENSINO."/>
    <s v="ÁTILA NUNES"/>
    <x v="2"/>
    <x v="6"/>
    <m/>
    <m/>
    <d v="2025-12-08T00:00:00"/>
    <d v="2026-02-09T00:00:00"/>
    <m/>
    <m/>
    <m/>
    <m/>
    <m/>
    <x v="3"/>
    <m/>
    <m/>
    <m/>
    <m/>
    <s v="http://alerjln1.alerj.rj.gov.br/scpro1519.nsf/18c1dd68f96be3e7832566ec0018d833/ebb0a59bd917b148832580dc00671663?OpenDocument"/>
  </r>
  <r>
    <x v="0"/>
    <m/>
    <s v="2180/2023"/>
    <s v="INSTITUI O PROGRAMA “VISÃO DO FUTURO” NO ÂMBITO DO ESTADO DO RIO DE JANEIRO."/>
    <s v="DOUGLAS RUAS"/>
    <x v="2"/>
    <x v="6"/>
    <m/>
    <m/>
    <d v="2025-12-08T00:00:00"/>
    <d v="2026-02-09T00:00:00"/>
    <m/>
    <m/>
    <m/>
    <m/>
    <m/>
    <x v="3"/>
    <m/>
    <m/>
    <m/>
    <m/>
    <s v="http://alerjln1.alerj.rj.gov.br/scpro2327.nsf/18c1dd68f96be3e7832566ec0018d833/6b124f6a864a91ed03258a360062ee0f?OpenDocument"/>
  </r>
  <r>
    <x v="0"/>
    <m/>
    <s v="3348/2024"/>
    <s v="DISPÕE SOBRE A CRIAÇÃO DO PROGRAMA OFICINAS DE RECICLAGEM DE PAPEL NO ÂMBITO DAS ESCOLAS PÚBLICAS DO ESTADO DO RIO DE JANEIRO E DÁ OUTRAS PROVIDÊNCIAS"/>
    <s v="ANDREZINHO CECILIANO"/>
    <x v="2"/>
    <x v="6"/>
    <m/>
    <m/>
    <d v="2025-12-08T00:00:00"/>
    <d v="2026-02-09T00:00:00"/>
    <m/>
    <m/>
    <m/>
    <m/>
    <m/>
    <x v="3"/>
    <m/>
    <m/>
    <m/>
    <m/>
    <s v="http://alerjln1.alerj.rj.gov.br/scpro2327.nsf/18c1dd68f96be3e7832566ec0018d833/65acf46cca015fcc03258aed005fdbb1?OpenDocument"/>
  </r>
  <r>
    <x v="0"/>
    <m/>
    <s v="3449/2024"/>
    <s v="INSTITUI A LEI DE ENFRENTAMENTO À EMERGÊNCIA CLIMÁTICA NAS ESCOLAS DA REDE ESTADUAL DE ENSINO E DÁ OUTRAS PROVIDÊNCIAS."/>
    <s v="PROF JOSEMAR"/>
    <x v="2"/>
    <x v="6"/>
    <m/>
    <m/>
    <d v="2025-12-08T00:00:00"/>
    <d v="2026-02-09T00:00:00"/>
    <m/>
    <m/>
    <m/>
    <m/>
    <m/>
    <x v="3"/>
    <m/>
    <m/>
    <m/>
    <m/>
    <s v="http://alerjln1.alerj.rj.gov.br/scpro2327.nsf/18c1dd68f96be3e7832566ec0018d833/50b6bc102b7b551a03258b0a005e4d83?OpenDocument"/>
  </r>
  <r>
    <x v="0"/>
    <m/>
    <s v="3016/2020"/>
    <s v="INSTITUI A POLÍTICA ESTADUAL DE PROTEÇÃO, INCLUSÃO E ACOMPANHAMENTO EDUCACIONAL DOS ALUNOS COM EPILEPSIA E DÁ OUTRAS PROVIDÊNCIAS."/>
    <s v="DANNIEL LIBRELON"/>
    <x v="2"/>
    <x v="6"/>
    <m/>
    <m/>
    <d v="2025-12-08T00:00:00"/>
    <d v="2026-02-09T00:00:00"/>
    <m/>
    <m/>
    <m/>
    <m/>
    <m/>
    <x v="3"/>
    <m/>
    <m/>
    <m/>
    <m/>
    <s v="http://alerjln1.alerj.rj.gov.br/scpro1923.nsf/18c1dd68f96be3e7832566ec0018d833/9a669832319efd33032585c8005e85f1?OpenDocument"/>
  </r>
  <r>
    <x v="0"/>
    <m/>
    <s v="2052/2023"/>
    <s v="ALTERA A LEI Nº 7.375, DE 14 DE JULHO 2016, PARA DISPOR SOBRE A PREVENÇÃO, DETECÇÃO E CONTROLE DA TROMBOFILIA GESTACIONAL NO ESTADO DO RIO DE JANEIRO."/>
    <s v="MÁRCIO CANELLA"/>
    <x v="1"/>
    <x v="10"/>
    <m/>
    <s v="PRÓXIMA"/>
    <d v="2025-12-09T00:00:00"/>
    <d v="2026-02-09T00:00:00"/>
    <d v="2026-03-05T00:00:00"/>
    <m/>
    <m/>
    <m/>
    <m/>
    <x v="1"/>
    <m/>
    <m/>
    <m/>
    <m/>
    <s v="http://alerjln1.alerj.rj.gov.br/scpro2327.nsf/18c1dd68f96be3e7832566ec0018d833/c5df03d7df9b59b203258a290047ee65?OpenDocument"/>
  </r>
  <r>
    <x v="0"/>
    <m/>
    <s v="3708/2024"/>
    <s v="DISPÕE SOBRE A CRIAÇÃO DO PROGRAMA DE PREVENÇÃO DE SAÚDE DA SARCOPENIA, NO ÂMBITO DO ESTADO DO RIO DE JANEIRO, E DÁ OUTRAS PROVIDÊNCIAS."/>
    <s v="RENAN JORDY"/>
    <x v="1"/>
    <x v="3"/>
    <m/>
    <s v="PRÓXIMA"/>
    <d v="2025-12-09T00:00:00"/>
    <d v="2026-02-09T00:00:00"/>
    <d v="2026-02-26T00:00:00"/>
    <m/>
    <m/>
    <m/>
    <m/>
    <x v="1"/>
    <m/>
    <m/>
    <m/>
    <m/>
    <s v="http://alerjln1.alerj.rj.gov.br/scpro2327.nsf/18c1dd68f96be3e7832566ec0018d833/21105a15fad0ae2f03258b33006781e0?OpenDocument"/>
  </r>
  <r>
    <x v="0"/>
    <m/>
    <s v="4274/2024"/>
    <s v="ALTERA A LEI Nº 8953, DE 30 DE JULHO DE 2020, NA FORMA QUE MENCIONA."/>
    <s v="CELIA JORDÃO"/>
    <x v="1"/>
    <x v="3"/>
    <m/>
    <s v="PRÓXIMA"/>
    <d v="2025-12-09T00:00:00"/>
    <d v="2026-02-09T00:00:00"/>
    <d v="2026-02-26T00:00:00"/>
    <m/>
    <m/>
    <m/>
    <m/>
    <x v="1"/>
    <m/>
    <m/>
    <m/>
    <m/>
    <s v="http://alerjln1.alerj.rj.gov.br/scpro2327.nsf/18c1dd68f96be3e7832566ec0018d833/b33ec75fcd3d7ea703258bb700623d66?OpenDocument"/>
  </r>
  <r>
    <x v="0"/>
    <m/>
    <s v="4478/2024"/>
    <s v="DISPÕE SOBRE A VIABILIZAÇÃO DE PAGAMENTO DE TRIBUTOS, TAXAS E MULTAS DE VEÍCULOS AUTOMOTORES DURANTE ABORDAGEM POR AUTORIDADES DE TRÂNSITO EM OPERAÇÕES NAS VIAS E  DÁ OUTRAS PROVIDÊNCIAS."/>
    <s v="GIOVANI RATINHO,RAFAEL NOBRE,TH JOIAS,VAL CEASA,VALDECY DA SAÚDE"/>
    <x v="1"/>
    <x v="3"/>
    <m/>
    <s v="PRÓXIMA"/>
    <d v="2025-12-18T00:00:00"/>
    <d v="2026-02-09T00:00:00"/>
    <d v="2026-02-26T00:00:00"/>
    <m/>
    <m/>
    <m/>
    <m/>
    <x v="1"/>
    <m/>
    <m/>
    <m/>
    <m/>
    <s v="http://alerjln1.alerj.rj.gov.br/scpro2327.nsf/18c1dd68f96be3e7832566ec0018d833/e7281c7aacb38b7503258be20064d79c?OpenDocument"/>
  </r>
  <r>
    <x v="0"/>
    <m/>
    <s v="429/2023"/>
    <s v="DISPÕE SOBRE A VEDAÇÃO DE CONCESSÃO DE BENEFÍCIOS FISCAIS ÀS PESSOAS FÍSICAS OU JURÍDICAS CONDENADAS POR CORRUPÇÃO OU ATO DE IMPROBIDADE ADMINISTRATIVA, NA FORMA QUE MENCIONA."/>
    <s v="ANDERSON MORAES"/>
    <x v="1"/>
    <x v="24"/>
    <m/>
    <s v="PRÓXIMA"/>
    <d v="2025-12-18T00:00:00"/>
    <d v="2026-02-09T00:00:00"/>
    <d v="2026-03-05T00:00:00"/>
    <m/>
    <m/>
    <m/>
    <m/>
    <x v="1"/>
    <m/>
    <m/>
    <m/>
    <m/>
    <s v="http://alerjln1.alerj.rj.gov.br/scpro2327.nsf/18c1dd68f96be3e7832566ec0018d833/c9b00590df6cf2340325896c0064d887?OpenDocument"/>
  </r>
  <r>
    <x v="0"/>
    <m/>
    <s v="691/2023"/>
    <s v="CRIA O SELO “SOLDADO-CIDADÃO” PARA AS EMPRESAS QUE ADMITIREM, PARA O PRIMEIRO EMPREGO, CIDADÃOS QUE ESTÃO FINALIZANDO O CUMPRIMENTO DO SERVIÇO MILITAR OBRIGATÓRIO OU TEMPORÁRIO, NO ÂMBITO DO ESTADO DO RIO DE JANEIRO."/>
    <s v="RODRIGO AMORIM"/>
    <x v="1"/>
    <x v="2"/>
    <m/>
    <s v="PRÓXIMA"/>
    <d v="2025-12-18T00:00:00"/>
    <d v="2026-02-09T00:00:00"/>
    <d v="2026-02-26T00:00:00"/>
    <m/>
    <m/>
    <m/>
    <m/>
    <x v="1"/>
    <m/>
    <m/>
    <m/>
    <m/>
    <s v="http://alerjln1.alerj.rj.gov.br/scpro2327.nsf/18c1dd68f96be3e7832566ec0018d833/ea8ba03f16350b550325898d004de0dc?OpenDocument"/>
  </r>
  <r>
    <x v="0"/>
    <m/>
    <s v="1547/2023"/>
    <s v="MODIFICA A LEI Nº 2.877, DE 22 DE DEZEMBRO DE 1997 QUE DISPÕE SOBRE O IMPOSTO SOBRE A PROPRIEDADE DE VEÍCULOS AUTOMOTORES E DÁ OUTRAS PROVIDÊNCIAS."/>
    <s v="LUIZ PAULO"/>
    <x v="1"/>
    <x v="23"/>
    <m/>
    <s v="PRÓXIMA"/>
    <d v="2025-12-18T00:00:00"/>
    <d v="2026-02-09T00:00:00"/>
    <d v="2026-02-26T00:00:00"/>
    <m/>
    <m/>
    <m/>
    <m/>
    <x v="1"/>
    <m/>
    <m/>
    <m/>
    <m/>
    <s v="http://alerjln1.alerj.rj.gov.br/scpro2327.nsf/18c1dd68f96be3e7832566ec0018d833/3911575a230cf00f032589f900590b48?OpenDocument"/>
  </r>
  <r>
    <x v="0"/>
    <m/>
    <s v="4424/2024"/>
    <s v="ALTERA A LEI Nº 2877, DE 22 DE DEZEMBRO DE 1997, E DÁ OUTRAS PROVIDÊNCIAS."/>
    <s v="ELIKA TAKIMOTO"/>
    <x v="1"/>
    <x v="3"/>
    <m/>
    <s v="PRÓXIMA"/>
    <d v="2025-12-18T00:00:00"/>
    <d v="2026-02-09T00:00:00"/>
    <d v="2026-02-26T00:00:00"/>
    <m/>
    <m/>
    <m/>
    <m/>
    <x v="1"/>
    <m/>
    <m/>
    <m/>
    <m/>
    <s v="http://alerjln1.alerj.rj.gov.br/scpro2327.nsf/18c1dd68f96be3e7832566ec0018d833/90861bbc834b8f0803258bcc00619c4a?OpenDocument"/>
  </r>
  <r>
    <x v="0"/>
    <m/>
    <s v="3331/2020"/>
    <s v="DISPÕE SOBRE A ATENÇÃO TERAPÊUTICA OCUPACIONAL NO CONTEXTO ESCOLAR, EM ÂMBITO ESTADUAL PARA ALUNOS DA REDE ESTADUAL DE EDUCAÇÃO, NO PERÍODO DA PANDEMIA E PÓS-PANDEMIA, POR MEIO DE ATENDIMENTO PRESENCIAL E TELEATENDIMENTO PELAS SECRETARIAS ESTADUAIS DE EDUCAÇÃO E DE SAÚDE DO RIO DE JANEIRO."/>
    <s v="ALEXANDRE KNOPLOCH"/>
    <x v="6"/>
    <x v="6"/>
    <m/>
    <m/>
    <d v="2026-02-11T00:00:00"/>
    <d v="2026-02-11T00:00:00"/>
    <m/>
    <m/>
    <m/>
    <m/>
    <m/>
    <x v="3"/>
    <m/>
    <m/>
    <m/>
    <m/>
    <s v="http://alerjln1.alerj.rj.gov.br/scpro1923.nsf/18c1dd68f96be3e7832566ec0018d833/d8b0d1ed1077e49c03258625004dfffa?OpenDocument"/>
  </r>
  <r>
    <x v="0"/>
    <m/>
    <s v="4660/2021"/>
    <s v="CRIA O PROGRAMA ESTADUAL CONDOMÍNIO CIDADANIA PARA ATENDIMENTO HUMANIZADO E INDIVIDUALIZADO A POPULAÇÃO EM SITUAÇÃO DE RUA."/>
    <s v="ZEIDAN"/>
    <x v="6"/>
    <x v="6"/>
    <m/>
    <m/>
    <d v="2026-02-11T00:00:00"/>
    <d v="2026-02-11T00:00:00"/>
    <m/>
    <m/>
    <m/>
    <m/>
    <m/>
    <x v="3"/>
    <m/>
    <m/>
    <m/>
    <m/>
    <s v="http://alerjln1.alerj.rj.gov.br/scpro1923.nsf/18c1dd68f96be3e7832566ec0018d833/3cf566ff3f4e9db403258734006bfcb1?OpenDocument"/>
  </r>
  <r>
    <x v="0"/>
    <m/>
    <s v="6163/2022"/>
    <s v="INSTITUI O PROGRAMA DE ACONSELHAMENTO DE JOVENS CASAIS COM FILHOS"/>
    <s v="MARCELO DINO"/>
    <x v="6"/>
    <x v="6"/>
    <m/>
    <m/>
    <d v="2026-02-11T00:00:00"/>
    <d v="2026-02-11T00:00:00"/>
    <m/>
    <m/>
    <m/>
    <m/>
    <m/>
    <x v="3"/>
    <m/>
    <m/>
    <m/>
    <m/>
    <s v="http://alerjln1.alerj.rj.gov.br/scpro1923.nsf/18c1dd68f96be3e7832566ec0018d833/ac9cb0c494465a12032588710065272e?OpenDocument"/>
  </r>
  <r>
    <x v="0"/>
    <m/>
    <s v="1058/2023"/>
    <s v="ALTERA A LEI Nº 8.738, DE 20 DE FEVEREIRO DE 2020, QUE DISPÕE SOBRE A CRIAÇÃO DA DELEGACIA DE DEFESA CONTRA MAUS-TRATOS A ANIMAIS DOMÉSTICOS NO ÂMBITO DO ESTADO DO RIO DE JANEIRO."/>
    <s v="CLAUDIO CAIADO,ROSENVERG REIS"/>
    <x v="6"/>
    <x v="6"/>
    <m/>
    <m/>
    <d v="2026-02-11T00:00:00"/>
    <d v="2026-02-11T00:00:00"/>
    <m/>
    <m/>
    <m/>
    <m/>
    <m/>
    <x v="3"/>
    <m/>
    <m/>
    <m/>
    <m/>
    <s v="http://alerjln1.alerj.rj.gov.br/scpro2327.nsf/18c1dd68f96be3e7832566ec0018d833/34f6c506a35572ad032589ac004f7958?OpenDocument"/>
  </r>
  <r>
    <x v="0"/>
    <m/>
    <s v="2699/2023"/>
    <s v="AUTORIZA O PODER EXECUTIVO A INSTITUIR O PROGRAMA DE BOLSA-TÉCNICO, NO ÂMBITO DO ESTADO DO RIO DE JANEIRO E DÁ OUTRAS PROVIDÊNCIAS."/>
    <s v="CARLINHOS BNH"/>
    <x v="6"/>
    <x v="6"/>
    <m/>
    <m/>
    <d v="2026-02-11T00:00:00"/>
    <d v="2026-02-11T00:00:00"/>
    <m/>
    <m/>
    <m/>
    <m/>
    <m/>
    <x v="3"/>
    <m/>
    <m/>
    <m/>
    <m/>
    <s v="http://alerjln1.alerj.rj.gov.br/scpro2327.nsf/18c1dd68f96be3e7832566ec0018d833/ab5af12b01d7eb0403258a77006177fc?OpenDocument"/>
  </r>
  <r>
    <x v="0"/>
    <m/>
    <s v="3426/2024"/>
    <s v="CRIA O “SELO CONDOMÍNIO AMIGO DOS ANIMAIS” NO ÂMBITO DO ESTADO DO RIO DE JANEIRO."/>
    <s v="BRAZAO"/>
    <x v="6"/>
    <x v="6"/>
    <m/>
    <m/>
    <d v="2026-02-11T00:00:00"/>
    <d v="2026-02-11T00:00:00"/>
    <m/>
    <m/>
    <m/>
    <m/>
    <m/>
    <x v="3"/>
    <m/>
    <m/>
    <m/>
    <m/>
    <s v="http://alerjln1.alerj.rj.gov.br/scpro2327.nsf/18c1dd68f96be3e7832566ec0018d833/24dad65df37222c403258b090056d50a?OpenDocument"/>
  </r>
  <r>
    <x v="0"/>
    <m/>
    <s v="4025/2024"/>
    <s v="ALTERA O ANEXO DA LEI Nº 5.645, DE 06 DE JANEIRO DE 2010, INCLUINDO NO CALENDÁRIO OFICIAL DO ESTADO DO RIO DE JANEIRO, A “SEMANA ESTADUAL DE CONSCIENTIZAÇÃO E PREVENÇÃO DE DOENÇAS EM ANIMAIS DOMÉSTICOS IDOSOS”."/>
    <s v="DANNIEL LIBRELON"/>
    <x v="6"/>
    <x v="6"/>
    <m/>
    <m/>
    <d v="2026-02-11T00:00:00"/>
    <d v="2026-02-11T00:00:00"/>
    <m/>
    <m/>
    <m/>
    <m/>
    <m/>
    <x v="3"/>
    <m/>
    <m/>
    <m/>
    <m/>
    <s v="http://alerjln1.alerj.rj.gov.br/scpro2327.nsf/18c1dd68f96be3e7832566ec0018d833/df7bb319e5c90fee03258b7f004ddd4a?OpenDocument"/>
  </r>
  <r>
    <x v="0"/>
    <m/>
    <s v="4115/2024"/>
    <s v="ALTERA A LEI Nº 8241 DE 10 DE DEZEMBRO DE 2018, QUE OBRIGA O PODER EXECUTIVO A ENTREGAR AOS POLICIAIS CIVIS E MILITARES OS EQUIPAMENTOS QUE ESPECIFICA."/>
    <s v="INDIA ARMELAU"/>
    <x v="6"/>
    <x v="6"/>
    <m/>
    <m/>
    <d v="2026-02-11T00:00:00"/>
    <d v="2026-02-11T00:00:00"/>
    <m/>
    <m/>
    <m/>
    <m/>
    <m/>
    <x v="3"/>
    <m/>
    <m/>
    <m/>
    <m/>
    <s v="http://alerjln1.alerj.rj.gov.br/scpro2327.nsf/18c1dd68f96be3e7832566ec0018d833/6bccf423d282117403258b8c0048ee15?OpenDocument"/>
  </r>
  <r>
    <x v="0"/>
    <m/>
    <s v="3675/2021"/>
    <s v="INSTITUI O “AUXÍLIO ESPORTES ELETRÔNICOS” PARA OS ESTUDANTES DE CURSOS ESPECIALIZADOS EM ESPORTES ELETRÔNICOS."/>
    <s v="RODRIGO AMORIM"/>
    <x v="8"/>
    <x v="50"/>
    <m/>
    <s v="PRÓXIMA"/>
    <d v="2026-02-11T00:00:00"/>
    <d v="2026-02-11T00:00:00"/>
    <d v="2026-03-25T00:00:00"/>
    <m/>
    <m/>
    <m/>
    <m/>
    <x v="3"/>
    <m/>
    <m/>
    <m/>
    <m/>
    <s v="http://alerjln1.alerj.rj.gov.br/scpro1923.nsf/18c1dd68f96be3e7832566ec0018d833/9cb6e04e4648768603258685004d2128?OpenDocument"/>
  </r>
  <r>
    <x v="0"/>
    <m/>
    <s v="5049/2021"/>
    <s v="ALTERA A LEI Nº 6.720, DE 24 DE MARÇO DE 2014, QUE “INSTITUI PLANO DE CARGOS, CARREIRAS E REMUNERAÇÃO DA FUNDAÇÃO DE APOIO À ESCOLA TÉCNICA DO ESTADO DO RIO DE JANEIRO – FAETEC E DÁ OUTRAS PROVIDÊNCIAS”"/>
    <s v="FLAVIO SERAFINI"/>
    <x v="8"/>
    <x v="6"/>
    <m/>
    <m/>
    <d v="2026-02-11T00:00:00"/>
    <d v="2026-02-11T00:00:00"/>
    <m/>
    <m/>
    <m/>
    <m/>
    <m/>
    <x v="3"/>
    <m/>
    <m/>
    <m/>
    <m/>
    <s v="http://alerjln1.alerj.rj.gov.br/scpro1923.nsf/18c1dd68f96be3e7832566ec0018d833/cfd59f6dfccd7724032587750065b9f6?OpenDocument"/>
  </r>
  <r>
    <x v="0"/>
    <m/>
    <s v="EP 10/2023"/>
    <s v="DETERMINA A DISPONIBILIZAÇÃO DE INFORMAÇÕES ATRAVÉS DE APLICATIVO PARA DISPOSITIVOS MÓVEIS, - “MEU ÔNIBUS”, EM TEMPO REAL, DA LOCALIZAÇÃO, DOS HORÁRIOS DAS LINHAS DE ÔNIBUS E DO NÚMERO DE VEÍCULOS DISPONÍVEIS E DÁ OUTRAS PROVIDÊNCIAS NA FORMA EM QUE MENCIONA."/>
    <s v="ROSENVERG REIS"/>
    <x v="8"/>
    <x v="6"/>
    <m/>
    <m/>
    <d v="2026-02-11T00:00:00"/>
    <d v="2026-02-11T00:00:00"/>
    <m/>
    <m/>
    <m/>
    <m/>
    <m/>
    <x v="3"/>
    <m/>
    <m/>
    <m/>
    <m/>
    <s v="http://alerjln1.alerj.rj.gov.br/scpro2327.nsf/18c1dd68f96be3e7832566ec0018d833/8e1ffcf9028a89950325894a006e61df?OpenDocument"/>
  </r>
  <r>
    <x v="0"/>
    <m/>
    <s v="840/2023"/>
    <s v="ALTERA A LEI ESTADUAL Nº 8.614, DE 06 DE NOVEMBRO DE 2019, QUE DISPÕE SOBRE A OBRIGATORIEDADE DE DISPONIBILIZAÇÃO DO CÓDIGO QR EM TODAS AS PLACAS DE OBRAS PÚBLICAS ESTADUAIS."/>
    <s v="JORGE FELIPPE NETO"/>
    <x v="8"/>
    <x v="3"/>
    <m/>
    <s v="PRÓXIMA"/>
    <d v="2026-02-11T00:00:00"/>
    <d v="2026-02-11T00:00:00"/>
    <d v="2026-02-26T00:00:00"/>
    <m/>
    <m/>
    <m/>
    <m/>
    <x v="1"/>
    <m/>
    <m/>
    <m/>
    <m/>
    <s v="http://alerjln1.alerj.rj.gov.br/scpro2327.nsf/18c1dd68f96be3e7832566ec0018d833/5a0f33e769127fc70325899d005494da?OpenDocument"/>
  </r>
  <r>
    <x v="0"/>
    <m/>
    <s v="2011/2023"/>
    <s v="ALTERA A LEI 5.645 DE 06 DE JANEIRO DE 2010, PARA INCLUIR NO CALENDÁRIO DO ESTADO DO RIO DE JANEIRO A SEMANA ESTADUAL EM CELEBRAÇÃO E DEFESA DAS UNIVERSIDADES PÚBLICAS FEDERAIS DO ESTADO DO RIO DE JANEIRO."/>
    <s v="MARINA DO MST"/>
    <x v="8"/>
    <x v="6"/>
    <m/>
    <m/>
    <d v="2026-02-11T00:00:00"/>
    <d v="2026-02-11T00:00:00"/>
    <m/>
    <m/>
    <m/>
    <m/>
    <m/>
    <x v="3"/>
    <m/>
    <m/>
    <m/>
    <m/>
    <s v="http://alerjln1.alerj.rj.gov.br/scpro2327.nsf/18c1dd68f96be3e7832566ec0018d833/a74a6db37806648903258a2800603f68?OpenDocument"/>
  </r>
  <r>
    <x v="0"/>
    <m/>
    <s v="2726/2023"/>
    <s v="ESTABELECE A OBRIGATORIEDADE DE ATENDIMENTO RESERVADO À VÍTIMA DE CRIME CIBERNÉTICO, DE QUE RESULTE VIOLÊNCIA EM TODAS AS DELEGACIAS POLICIAIS DO ESTADO DO RIO DE JANEIRO."/>
    <s v="COMISSÃO PARLAMENTAR DE INQUÉRITO INSTITUÍDA PELA RESOLUÇÃO Nº 31/2023"/>
    <x v="8"/>
    <x v="24"/>
    <m/>
    <s v="PRÓXIMA"/>
    <d v="2026-02-11T00:00:00"/>
    <d v="2026-02-11T00:00:00"/>
    <d v="2026-02-26T00:00:00"/>
    <m/>
    <m/>
    <m/>
    <m/>
    <x v="1"/>
    <m/>
    <m/>
    <m/>
    <m/>
    <s v="http://alerjln1.alerj.rj.gov.br/scpro2327.nsf/18c1dd68f96be3e7832566ec0018d833/11743b8bbec3775e03258a7c006f9859?OpenDocument"/>
  </r>
  <r>
    <x v="0"/>
    <m/>
    <s v="4083/2024"/>
    <s v="INSTITUI A POLÍTICA ESTADUAL DE ATENÇÃO INTEGRAL AO PACIENTE INFECTADO PELO VÍRUS MONKEYPOX (MPXV)."/>
    <s v="RODRIGO AMORIM"/>
    <x v="8"/>
    <x v="3"/>
    <m/>
    <s v="PRÓXIMA"/>
    <d v="2026-02-11T00:00:00"/>
    <d v="2026-02-11T00:00:00"/>
    <d v="2026-03-25T00:00:00"/>
    <m/>
    <m/>
    <m/>
    <m/>
    <x v="3"/>
    <m/>
    <m/>
    <m/>
    <m/>
    <s v="http://alerjln1.alerj.rj.gov.br/scpro2327.nsf/18c1dd68f96be3e7832566ec0018d833/4b590aa5b3ac722003258b870054442f?OpenDocument"/>
  </r>
  <r>
    <x v="0"/>
    <m/>
    <s v="1642/2019"/>
    <s v="FICAM AS UNIDADES DE SAÚDE DA REDE PÚBLICA E PRIVADA OBRIGADAS A GARANTIR OS DIREITOS DE MULHERES QUE SOFRAM PERDA GESTACIONAL."/>
    <s v="COMISSÃO PARLAMENTAR DE INQUÉRITO INSTITUÍDA PELA RESOLUÇÃO Nº 05/2019"/>
    <x v="1"/>
    <x v="2"/>
    <m/>
    <s v="PRÓXIMA"/>
    <d v="2026-02-24T00:00:00"/>
    <d v="2026-03-10T00:00:00"/>
    <d v="2026-04-06T00:00:00"/>
    <m/>
    <m/>
    <m/>
    <m/>
    <x v="1"/>
    <m/>
    <m/>
    <m/>
    <m/>
    <s v="http://alerjln1.alerj.rj.gov.br/scpro1923.nsf/18c1dd68f96be3e7832566ec0018d833/d0b5d921245ab083832584b000671131?OpenDocument"/>
  </r>
  <r>
    <x v="0"/>
    <m/>
    <s v="854/2023"/>
    <s v="DISPÕE SOBRE O FORNECIMENTO DE FONE ANTIRRUÍDO PARA PESSOAS COM TRANSTORNO DO ESPECTRO AUTISTA (TEA)."/>
    <s v="DANNIEL LIBRELON"/>
    <x v="8"/>
    <x v="3"/>
    <m/>
    <s v="PRÓXIMA"/>
    <d v="2026-02-24T00:00:00"/>
    <d v="2026-03-10T00:00:00"/>
    <d v="2026-03-25T00:00:00"/>
    <m/>
    <m/>
    <m/>
    <m/>
    <x v="1"/>
    <m/>
    <m/>
    <m/>
    <m/>
    <s v="http://alerjln1.alerj.rj.gov.br/scpro2327.nsf/18c1dd68f96be3e7832566ec0018d833/c8b949352c2d2f700325899d0067ee85?OpenDocument"/>
  </r>
  <r>
    <x v="0"/>
    <m/>
    <s v="986/2023"/>
    <s v="ALTERA A LEI Nº8581, DE 24 DE OUTUBRO DE 2019, NA FORMA QUE MENCIONA."/>
    <s v="VITOR JUNIOR"/>
    <x v="8"/>
    <x v="6"/>
    <m/>
    <m/>
    <d v="2026-02-24T00:00:00"/>
    <d v="2026-03-10T00:00:00"/>
    <m/>
    <m/>
    <m/>
    <m/>
    <m/>
    <x v="1"/>
    <m/>
    <m/>
    <m/>
    <m/>
    <s v="http://alerjln1.alerj.rj.gov.br/scpro2327.nsf/18c1dd68f96be3e7832566ec0018d833/89d08aa47f6ec990032589ab004ce037?OpenDocument"/>
  </r>
  <r>
    <x v="0"/>
    <m/>
    <s v="3565/2024"/>
    <s v="CRIA O PROGRAMA “GAMETERAPIA INCLUSIVA”, PARA PESSOAS COM DEFICIÊNCIA, SÍNDROMES E/OU TRANSTORNO DO ESPECTRO AUTISTA – TEA."/>
    <s v="THIAGO GAGLIASSO"/>
    <x v="8"/>
    <x v="6"/>
    <m/>
    <m/>
    <d v="2026-02-24T00:00:00"/>
    <d v="2026-03-10T00:00:00"/>
    <m/>
    <m/>
    <m/>
    <m/>
    <m/>
    <x v="1"/>
    <m/>
    <m/>
    <m/>
    <m/>
    <s v="http://alerjln1.alerj.rj.gov.br/scpro2327.nsf/18c1dd68f96be3e7832566ec0018d833/8d74c2a21af66a6b03258b1d0063fa9c?OpenDocument"/>
  </r>
  <r>
    <x v="0"/>
    <m/>
    <s v="4162/2024"/>
    <s v="DISPÕE SOBRE A GRATUIDADE NA OBTENÇÃO DA SEGUNDA VIA DO VALE SOCIAL, PARA PESSOA COM DEFICIÊNCIA-PCD."/>
    <s v="FRED PACHECO"/>
    <x v="8"/>
    <x v="6"/>
    <m/>
    <m/>
    <d v="2026-03-06T00:00:00"/>
    <d v="2026-03-10T00:00:00"/>
    <m/>
    <m/>
    <m/>
    <m/>
    <m/>
    <x v="1"/>
    <m/>
    <m/>
    <m/>
    <m/>
    <s v="http://alerjln1.alerj.rj.gov.br/scpro2327.nsf/18c1dd68f96be3e7832566ec0018d833/dbf9f896a22a1f8703258b9b0055d4c2?OpenDocument"/>
  </r>
  <r>
    <x v="0"/>
    <m/>
    <s v="4547/2024"/>
    <s v="ALTERA A LEI Nº 2470 DE 28 DE NOVEMBRO DE 1995, QUE INSTITUIU O PROGRAMA ESTADUAL DE DESESTATIZAÇÃO – PED."/>
    <s v="LUIZ PAULO"/>
    <x v="8"/>
    <x v="6"/>
    <m/>
    <m/>
    <d v="2026-03-06T00:00:00"/>
    <d v="2026-03-10T00:00:00"/>
    <m/>
    <m/>
    <m/>
    <m/>
    <m/>
    <x v="1"/>
    <m/>
    <m/>
    <m/>
    <m/>
    <s v="http://alerjln1.alerj.rj.gov.br/scpro2327.nsf/18c1dd68f96be3e7832566ec0018d833/21b753d5f5ae8ac503258bf50059424f?OpenDocument"/>
  </r>
  <r>
    <x v="0"/>
    <m/>
    <s v="6192/2022"/>
    <s v="INSTITUI A SEMANA PARA O COMBATE AO ABUSO SEXUAL E VIOLÊNCIA CONTRA A MULHER NAS ESCOLAS DO RIO DE JANEIRO."/>
    <s v="DANI MONTEIRO"/>
    <x v="0"/>
    <x v="6"/>
    <m/>
    <s v="PLENÁRIO"/>
    <m/>
    <m/>
    <d v="2026-03-10T00:00:00"/>
    <d v="2026-03-10T00:00:00"/>
    <m/>
    <m/>
    <m/>
    <x v="0"/>
    <s v="Estava no relator desde 2024._x000a_Não teve parecer porque foi direto a plenário em 12/03/2026"/>
    <m/>
    <m/>
    <m/>
    <s v="http://alerjln1.alerj.rj.gov.br/scpro1923.nsf/18c1dd68f96be3e7832566ec0018d833/9d6280b12b1f38b5032588710066cfe4?OpenDocument"/>
  </r>
  <r>
    <x v="0"/>
    <m/>
    <s v="1811/2016"/>
    <s v="DISPÕE SOBRE A CRIAÇÃO DO REGIME DE EXCEPCIONALIDADE NOS CONTRATOS E CONVÊNIOS QUE CONTEMPLAM ENTIDADES QUE ATENDAM CRIANÇAS E ADOLESCENTES NO ÂMBITO DO ESTADO DO RIO DE JANEIRO."/>
    <s v="MARCIO PACHECO,TIA JU"/>
    <x v="1"/>
    <x v="9"/>
    <m/>
    <s v="PRÓXIMA"/>
    <d v="2026-03-10T00:00:00"/>
    <d v="2026-03-10T00:00:00"/>
    <d v="2026-04-06T00:00:00"/>
    <m/>
    <m/>
    <m/>
    <m/>
    <x v="1"/>
    <m/>
    <m/>
    <m/>
    <m/>
    <s v="http://alerjln1.alerj.rj.gov.br/scpro1519.nsf/18c1dd68f96be3e7832566ec0018d833/95f99dad67f5d5bd83257fb800678bb1?OpenDocument"/>
  </r>
  <r>
    <x v="0"/>
    <m/>
    <s v="2788/2020"/>
    <s v="ESTABELECE DIRETRIZES PARA A PROMOÇÃO DE CONSCIENTIZAÇÃO SOBRE BONS TRATOS AOS ANIMAIS NA REDE DE ENSINO PÚBLICO E PRIVADO NO ESTADO DO RIO DE JANEIRO."/>
    <s v="DANNIEL LIBRELON"/>
    <x v="1"/>
    <x v="51"/>
    <m/>
    <s v="PRÓXIMA"/>
    <d v="2026-03-10T00:00:00"/>
    <d v="2026-03-10T00:00:00"/>
    <d v="2026-04-06T00:00:00"/>
    <m/>
    <m/>
    <m/>
    <m/>
    <x v="1"/>
    <m/>
    <m/>
    <m/>
    <m/>
    <s v="http://alerjln1.alerj.rj.gov.br/scpro1923.nsf/18c1dd68f96be3e7832566ec0018d833/a7e6efd52f533808032585910054fbf6?OpenDocument"/>
  </r>
  <r>
    <x v="0"/>
    <m/>
    <s v="2836/2020"/>
    <s v="DISPÕE SOBRE A OBRIGATORIEDADE DA CIRURGIA PLÁSTICA RECONSTRUTIVA TOTAL OU PARCIAL, ATRAVÉS DE PRÓTESE TESTICULAR, PELA REDE DE UNIDADES INTEGRANTES DO SISTEMA ÚNICO DE SAÚDE - SUS -, NOS CASOS DE MUTILAÇÃO DO_x0009_TESTÍCULO, DECORRENTES DE TRATAMENTO DE CÂNCER NO ÂMBITO DO ESTADO DO RIO DE JANEIRO."/>
    <s v="DANNIEL LIBRELON"/>
    <x v="1"/>
    <x v="3"/>
    <m/>
    <s v="PRÓXIMA"/>
    <d v="2026-03-10T00:00:00"/>
    <d v="2026-03-10T00:00:00"/>
    <d v="2026-04-06T00:00:00"/>
    <m/>
    <m/>
    <m/>
    <m/>
    <x v="1"/>
    <m/>
    <m/>
    <m/>
    <m/>
    <s v="http://alerjln1.alerj.rj.gov.br/scpro1923.nsf/18c1dd68f96be3e7832566ec0018d833/440f2a6ef3ab94fd0325859e0050b8d2?OpenDocument"/>
  </r>
  <r>
    <x v="0"/>
    <m/>
    <s v="5335/2022"/>
    <s v="DISPÕE SOBRE A POLÍTICA DE TRATAMENTO ESPECIALIZADO E ASSISTÊNCIA ESPECÍFICA PARA AS PESSOAS DIAGNOSTICADAS COM TRANSTORNO DE PERSONALIDADE NARCISISTA - TPN, NO ÂMBITO DO ESTADO DO RIO DE JANEIRO."/>
    <s v="DANNIEL LIBRELON"/>
    <x v="1"/>
    <x v="2"/>
    <m/>
    <s v="PRÓXIMA"/>
    <d v="2026-03-10T00:00:00"/>
    <d v="2026-03-10T00:00:00"/>
    <d v="2026-04-06T00:00:00"/>
    <m/>
    <m/>
    <m/>
    <m/>
    <x v="1"/>
    <m/>
    <m/>
    <m/>
    <m/>
    <s v="http://alerjln1.alerj.rj.gov.br/scpro1923.nsf/18c1dd68f96be3e7832566ec0018d833/c2c24857d2e16409032587de006bdccf?OpenDocument"/>
  </r>
  <r>
    <x v="0"/>
    <m/>
    <s v="4068/2024"/>
    <s v="DISPÕE SOBRE A CRIAÇÃO DE CAMPANHA PARA INVESTIGAÇÃO E DIAGNÓSTICO DO TRANSTORNO DO ESPECTRO AUTISTA (TEA) EM ADULTOS E IDOSOS, NO ÂMBITO DO ESTADO DO RIO DE JANEIRO"/>
    <s v="FRED PACHECO,THIAGO GAGLIASSO"/>
    <x v="1"/>
    <x v="23"/>
    <m/>
    <s v="PRÓXIMA"/>
    <d v="2026-03-10T00:00:00"/>
    <d v="2026-03-10T00:00:00"/>
    <d v="2026-04-06T00:00:00"/>
    <m/>
    <m/>
    <m/>
    <m/>
    <x v="1"/>
    <m/>
    <m/>
    <m/>
    <m/>
    <s v="http://alerjln1.alerj.rj.gov.br/scpro2327.nsf/18c1dd68f96be3e7832566ec0018d833/657c91f295e1151f03258b86004eece2?OpenDocument"/>
  </r>
  <r>
    <x v="0"/>
    <m/>
    <s v="4368/2024"/>
    <s v="ALTERA A LEI Nº 10.368/2024, QUE INSTITUI A “LEI MORENO MOURA”, QUE PROÍBE A CONTRATAÇÃO DE MÉDICO GENERALISTA E DE RESIDENTE MÉDICO, COMO MÉDICO ESPECIALISTA, EM UNIDADES DE SAÚDE E HOSPITAIS PÚBLICOS NO ESTADO DO RIO DE JANEIRO."/>
    <s v="RODRIGO AMORIM"/>
    <x v="6"/>
    <x v="6"/>
    <m/>
    <m/>
    <d v="2026-03-10T00:00:00"/>
    <d v="2026-03-10T00:00:00"/>
    <d v="2026-05-25T00:00:00"/>
    <m/>
    <m/>
    <m/>
    <m/>
    <x v="1"/>
    <s v="Retirei do gab. Do relator Vinícius Cozzolino, relatoria em 10/03/2026, pois mudou a composição da Com."/>
    <m/>
    <m/>
    <m/>
    <s v="http://alerjln1.alerj.rj.gov.br/scpro2327.nsf/18c1dd68f96be3e7832566ec0018d833/9e03d8abfc9243e103258bc7004a3c9f?OpenDocument"/>
  </r>
  <r>
    <x v="0"/>
    <m/>
    <s v="1980/2023"/>
    <s v="AUTORIZA A ADMINISTRAÇÃO PÚBLICA DO ESTADO DO RIO DE JANEIRO A ISENTAR A DOADORA DE LEITE HUMANO DO PAGAMENTO DA PASSAGEM DE RETORNO, ATÉ A RESIDÊNCIA DESTE, NOS TRANSPORTES COLETIVOS INTERMUNICIPAIS, NO ESTADO DO RIO DE JANEIRO E DÁ OUTRAS PROVIDÊNCIAS"/>
    <s v="ELIKA TAKIMOTO"/>
    <x v="8"/>
    <x v="6"/>
    <m/>
    <m/>
    <d v="2026-03-11T00:00:00"/>
    <d v="2026-03-26T00:00:00"/>
    <m/>
    <m/>
    <m/>
    <m/>
    <m/>
    <x v="0"/>
    <m/>
    <m/>
    <m/>
    <m/>
    <s v="http://alerjln1.alerj.rj.gov.br/scpro2327.nsf/18c1dd68f96be3e7832566ec0018d833/c88bb20257e1063903258a22004b02cd?OpenDocument"/>
  </r>
  <r>
    <x v="0"/>
    <m/>
    <s v="3136/2020"/>
    <s v="DISPÕE SOBRE A GARANTIA DO DESLOCAMENTO NO ÂMBITO DO ESTADO DO RIO DE JANEIRO AOS PACIENTES PORTADORES DA ATROFIA MUSCULAR ESPINHAL – AME."/>
    <s v="ROSENVERG REIS"/>
    <x v="8"/>
    <x v="6"/>
    <m/>
    <m/>
    <d v="2026-03-24T00:00:00"/>
    <d v="2026-03-26T00:00:00"/>
    <m/>
    <m/>
    <m/>
    <m/>
    <m/>
    <x v="0"/>
    <m/>
    <m/>
    <m/>
    <m/>
    <s v="http://alerjln1.alerj.rj.gov.br/scpro1923.nsf/18c1dd68f96be3e7832566ec0018d833/7a90e6a9e3efffec032585e500539e27?OpenDocument"/>
  </r>
  <r>
    <x v="0"/>
    <m/>
    <s v="2785/2023"/>
    <s v="CRIA O “PROGRAMA ESTADUAL DE FISIOTERAPIA OBSTÉTRICA PRÉ-NATAL” E DÁ OUTRAS PROVIDÊNCIAS"/>
    <s v="THIAGO GAGLIASSO"/>
    <x v="8"/>
    <x v="6"/>
    <m/>
    <s v="PLENÁRIO"/>
    <d v="2026-03-24T00:00:00"/>
    <d v="2026-03-26T00:00:00"/>
    <m/>
    <d v="2026-04-06T00:00:00"/>
    <m/>
    <m/>
    <m/>
    <x v="0"/>
    <s v="Retirei do gab. Do relator, em 06-04-2026, para ir a plenário"/>
    <m/>
    <m/>
    <m/>
    <s v="http://alerjln1.alerj.rj.gov.br/scpro2327.nsf/18c1dd68f96be3e7832566ec0018d833/f2b2896461d2be3603258a8400674823?OpenDocument"/>
  </r>
  <r>
    <x v="0"/>
    <m/>
    <s v="3066/2024"/>
    <s v="ALTERA A LEI ESTADUAL Nº 5.645, DE 06 DE JANEIRO DE 2010, PARA INCLUIR NO CALENDÁRIO DO ESTADO DO RIO DE JANEIRO O DIA ESTADUAL DA CONSCIENTIZAÇÃO DA SÍNDROME DA DUPLICAÇÃO DO CROMOSSOMO 17 (17P13.3)."/>
    <s v="CARLINHOS BNH"/>
    <x v="8"/>
    <x v="6"/>
    <m/>
    <m/>
    <d v="2026-03-24T00:00:00"/>
    <d v="2026-03-26T00:00:00"/>
    <m/>
    <m/>
    <m/>
    <m/>
    <m/>
    <x v="0"/>
    <m/>
    <m/>
    <m/>
    <m/>
    <s v="http://alerjln1.alerj.rj.gov.br/scpro2327.nsf/18c1dd68f96be3e7832566ec0018d833/363c8c13d0c10f4603258ad100645598?OpenDocument"/>
  </r>
  <r>
    <x v="0"/>
    <m/>
    <s v="4037/2024"/>
    <s v="DISPÕE SOBRE A POLÍTICA ESTADUAL DE APOIO E ASSISTÊNCIA ÀS PESSOAS COM A DOENÇA DE MPOX (VARÍOLA DOS MACACOS)."/>
    <s v="BRAZAO"/>
    <x v="8"/>
    <x v="6"/>
    <m/>
    <m/>
    <d v="2026-03-24T00:00:00"/>
    <d v="2026-03-26T00:00:00"/>
    <m/>
    <m/>
    <m/>
    <m/>
    <m/>
    <x v="0"/>
    <m/>
    <m/>
    <m/>
    <m/>
    <s v="http://alerjln1.alerj.rj.gov.br/scpro2327.nsf/18c1dd68f96be3e7832566ec0018d833/b66ff174b6ba1ca503258b7f0064ebd6?OpenDocument"/>
  </r>
  <r>
    <x v="0"/>
    <m/>
    <s v="4067/2024"/>
    <s v="INSTITUI O PROGRAMA DE CONTINGÊNCIA PARA APOIO A PESSOAS AUTISTAS EM SITUAÇÕES DE DESASTRES NO ÂMBITO DO ESTADO DO RIO DE JANEIRO."/>
    <s v="CARLA MACHADO"/>
    <x v="2"/>
    <x v="6"/>
    <m/>
    <m/>
    <d v="2026-03-24T00:00:00"/>
    <d v="2026-03-26T00:00:00"/>
    <m/>
    <m/>
    <m/>
    <m/>
    <m/>
    <x v="0"/>
    <m/>
    <m/>
    <m/>
    <m/>
    <s v="http://alerjln1.alerj.rj.gov.br/scpro2327.nsf/18c1dd68f96be3e7832566ec0018d833/c48363667ab1039403258b86004f334d?OpenDocument"/>
  </r>
  <r>
    <x v="0"/>
    <m/>
    <s v="5448/2025"/>
    <s v="INSTITUI, NO ÂMBITO DO ESTADO DO RIO DE JANEIRO, O PROGRAMA ESTADUAL DE TATUAGENS FUNCIONAIS PARA PESSOAS COM DOENÇAS CRÔNICAS"/>
    <s v="ELTON CRISTO"/>
    <x v="2"/>
    <x v="6"/>
    <m/>
    <m/>
    <d v="2026-03-24T00:00:00"/>
    <d v="2026-03-26T00:00:00"/>
    <m/>
    <m/>
    <m/>
    <m/>
    <m/>
    <x v="0"/>
    <m/>
    <m/>
    <m/>
    <m/>
    <s v="http://alerjln1.alerj.rj.gov.br/scpro2327.nsf/18c1dd68f96be3e7832566ec0018d833/a94a2714cf0ac95d03258c970061581f?OpenDocument"/>
  </r>
  <r>
    <x v="0"/>
    <m/>
    <s v="4777/2021"/>
    <s v="OBRIGA A PRESENÇA DE TRADUTOR E INTÉRPRETE DA LÍNGUA BRASILEIRA DE SINAIS – LIBRAS – EM TODOS OS EVENTOS REALIZADOS PELOS PODERES DO ESTADO DO RIO DE JANEIRO, PARA REALIZAR SUA INTERPRETAÇÃO E TRADUÇÃO INTEGRAL EM LIBRAS."/>
    <s v="RODRIGO AMORIM"/>
    <x v="2"/>
    <x v="6"/>
    <m/>
    <m/>
    <d v="2026-03-24T00:00:00"/>
    <d v="2026-03-26T00:00:00"/>
    <m/>
    <m/>
    <m/>
    <m/>
    <m/>
    <x v="0"/>
    <m/>
    <m/>
    <m/>
    <m/>
    <s v="http://alerjln1.alerj.rj.gov.br/scpro1923.nsf/18c1dd68f96be3e7832566ec0018d833/163764f5a6b8650603258743006242a4?OpenDocument"/>
  </r>
  <r>
    <x v="0"/>
    <m/>
    <s v="5353/2022"/>
    <s v="ALTERA O ART 2º DA LEI Nº 6165, DE 15 DE FEVEREIRO DE 2012."/>
    <s v="MARTHA ROCHA"/>
    <x v="2"/>
    <x v="6"/>
    <m/>
    <m/>
    <d v="2026-03-24T00:00:00"/>
    <d v="2026-03-26T00:00:00"/>
    <m/>
    <m/>
    <m/>
    <m/>
    <m/>
    <x v="0"/>
    <m/>
    <m/>
    <m/>
    <m/>
    <s v="http://alerjln1.alerj.rj.gov.br/scpro1923.nsf/18c1dd68f96be3e7832566ec0018d833/73894546d0e8a095032587e300658af6?OpenDocument"/>
  </r>
  <r>
    <x v="0"/>
    <m/>
    <s v="2362/2023"/>
    <s v="ALTERA A LEI ESTADUAL N.º 4.379, DE 20 DE JULHO DE 2004."/>
    <s v="FRED PACHECO"/>
    <x v="6"/>
    <x v="6"/>
    <m/>
    <m/>
    <d v="2026-03-24T00:00:00"/>
    <d v="2026-05-26T00:00:00"/>
    <m/>
    <m/>
    <m/>
    <m/>
    <m/>
    <x v="1"/>
    <s v="Retirei do gab. Do relator Vinícius Cozzolino, relatoria em 26/03/2026, pois mudou a composição da Com."/>
    <m/>
    <m/>
    <m/>
    <s v="http://alerjln1.alerj.rj.gov.br/scpro2327.nsf/18c1dd68f96be3e7832566ec0018d833/fabab851eca1fe2d03258a44005a4ba9?OpenDocument"/>
  </r>
  <r>
    <x v="0"/>
    <m/>
    <s v="EP 1646/2023"/>
    <s v="ALTERA A LEI ESTADUAL Nº 3.900 DE 19 DE JULHO DE 2002, QUE &quot;INSTITUI O CÓDIGO ESTADUAL DE PROTEÇÃO AOS ANIMAIS, NO ÂMBITO DO ESTADO DO RIO DE JANEIRO”."/>
    <s v="CARLINHOS BNH"/>
    <x v="0"/>
    <x v="6"/>
    <m/>
    <m/>
    <d v="2026-03-25T00:00:00"/>
    <d v="2026-05-26T00:00:00"/>
    <m/>
    <m/>
    <m/>
    <m/>
    <m/>
    <x v="1"/>
    <s v="Retirei do gab. Do relator Vinícius Cozzolino, relatoria em 26/03/2026, pois mudou a composição da Com."/>
    <m/>
    <m/>
    <m/>
    <s v="http://alerjln1.alerj.rj.gov.br/scpro2327.nsf/18c1dd68f96be3e7832566ec0018d833/59f5f737f012d01a03258a0000617940?OpenDocument"/>
  </r>
  <r>
    <x v="0"/>
    <m/>
    <s v="EP 10/2015"/>
    <s v="CRIA AS DELEGACIAS ESPECIALIZADAS EM ACIDENTES DO TRABALHO NO ESTADO DO RIO DE JANEIRO."/>
    <s v="PAULO RAMOS"/>
    <x v="11"/>
    <x v="6"/>
    <m/>
    <m/>
    <d v="2026-03-26T00:00:00"/>
    <d v="2026-05-26T00:00:00"/>
    <m/>
    <m/>
    <m/>
    <m/>
    <m/>
    <x v="1"/>
    <s v="Retirei do gab. Do relator Vinícius Cozzolino, relatoria em 26/03/2026, pois mudou a composição da Com."/>
    <m/>
    <m/>
    <m/>
    <s v="http://alerjln1.alerj.rj.gov.br/scpro1519.nsf/18c1dd68f96be3e7832566ec0018d833/52ed178cd5713da683257de10047bac1?OpenDocument"/>
  </r>
  <r>
    <x v="0"/>
    <m/>
    <s v="2857/2020"/>
    <s v="DECLARA PATRIMÔNIO CULTURAL IMATERIAL DO ESTADO DO RIO DE JANEIRO A CIÊNCIA DO KOMBATO, E DÁ OUTRAS PROVIDÊNCIAS."/>
    <s v="RODRIGO AMORIM"/>
    <x v="1"/>
    <x v="2"/>
    <m/>
    <s v="PRÓXIMA"/>
    <d v="2026-03-26T00:00:00"/>
    <d v="2026-03-26T00:00:00"/>
    <d v="2026-04-06T00:00:00"/>
    <m/>
    <m/>
    <m/>
    <m/>
    <x v="1"/>
    <m/>
    <m/>
    <m/>
    <m/>
    <s v="http://alerjln1.alerj.rj.gov.br/scpro1923.nsf/18c1dd68f96be3e7832566ec0018d833/fdee07e199496fd2032585a000501879?OpenDocument"/>
  </r>
  <r>
    <x v="0"/>
    <m/>
    <s v="EP 3800/2021"/>
    <s v="ALTERA A LEI Nº 5883, DE 14 DE JANEIRO DE 2011. QUE INSTITUI O PROGRAMA CONDOMÍNIO SEGURO EM TODO ESTADO DO RIO DE JANEIRO."/>
    <s v="CARLOS MACEDO"/>
    <x v="11"/>
    <x v="6"/>
    <m/>
    <m/>
    <d v="2026-03-26T00:00:00"/>
    <d v="2026-05-26T00:00:00"/>
    <m/>
    <m/>
    <m/>
    <m/>
    <m/>
    <x v="1"/>
    <s v="Retirei do gab. Do relator Vinícius Cozzolino, relatoria em 26/03/2026, pois mudou a composição da Com."/>
    <m/>
    <m/>
    <m/>
    <s v="http://alerjln1.alerj.rj.gov.br/scpro1923.nsf/18c1dd68f96be3e7832566ec0018d833/ccfc657883a4b7900325868d006b61eb?OpenDocument"/>
  </r>
  <r>
    <x v="0"/>
    <m/>
    <s v="862/2023"/>
    <s v="INSTITUI O PROGRAMA DE PROTEÇÃO À BOMBEIRO MILITAR-FEM GESTANTE E LACTANTE"/>
    <s v="ELTON CRISTO"/>
    <x v="6"/>
    <x v="6"/>
    <m/>
    <m/>
    <d v="2026-03-26T00:00:00"/>
    <d v="2026-03-26T00:00:00"/>
    <m/>
    <m/>
    <m/>
    <m/>
    <m/>
    <x v="0"/>
    <m/>
    <m/>
    <m/>
    <m/>
    <s v="http://alerjln1.alerj.rj.gov.br/scpro2327.nsf/18c1dd68f96be3e7832566ec0018d833/2564f2ebd9e5a8580325899d005a7a55?OpenDocument"/>
  </r>
  <r>
    <x v="0"/>
    <m/>
    <s v="893/2023"/>
    <s v="ALTERA A LEI N° 8386 DE 29 DE ABRIL DE 2019 QUE “INSTITUI O PROGRAMA DE APOIO, AVALIAÇÃO E ACOMPANHAMENTO PSICOLÓGICO DOS POLICIAIS CIVIS E MILITARES, BOMBEIROS MILITARES E INSPETORES DE SEGURANÇA, SERVIDORES DA ADMINISTRAÇÃO PENITENCIÁRIA E DO DEGASE, BEM COMO AOS SEUS FAMILIARES, VÍTIMAS DE TRAUMAS DECORRENTES DO EXERCÍCIO FUNCIONAL E QUE PARTICIPAREM DE CONFRONTO ARMADO DECORRENTE DE INTERVENÇÃO POLICIAL, COM OCORRÊNCIA OU NÃO DE LESÃO CORPORAL OU MORTE”"/>
    <s v="DANNIEL LIBRELON"/>
    <x v="6"/>
    <x v="6"/>
    <m/>
    <m/>
    <d v="2026-03-26T00:00:00"/>
    <d v="2026-03-26T00:00:00"/>
    <m/>
    <m/>
    <m/>
    <m/>
    <m/>
    <x v="0"/>
    <m/>
    <m/>
    <m/>
    <m/>
    <s v="http://alerjln1.alerj.rj.gov.br/scpro2327.nsf/18c1dd68f96be3e7832566ec0018d833/ec7a6c04f1ac12c7032589a300575ea2?OpenDocument"/>
  </r>
  <r>
    <x v="0"/>
    <m/>
    <s v="2206/2023"/>
    <s v="DISPÕE SOBRE IMPLANTAÇÃO DO PROGRAMA DE MANUTENÇÃO PREVENTIVA PARA OS EQUIPAMENTOS DE EMERGÊNCIA DAS VIATURAS POLICIAIS DO ESTADO DO RIO DE JANEIRO."/>
    <s v="THIAGO RANGEL"/>
    <x v="6"/>
    <x v="6"/>
    <m/>
    <m/>
    <d v="2026-03-26T00:00:00"/>
    <d v="2026-03-26T00:00:00"/>
    <m/>
    <m/>
    <m/>
    <m/>
    <m/>
    <x v="0"/>
    <m/>
    <m/>
    <m/>
    <m/>
    <s v="http://alerjln1.alerj.rj.gov.br/scpro2327.nsf/18c1dd68f96be3e7832566ec0018d833/c417337d6a354c5103258a350051918e?OpenDocument"/>
  </r>
  <r>
    <x v="0"/>
    <m/>
    <s v="3013/2017"/>
    <s v="ALTERA A LEI Nº 4.508, DE 11 DE JANEIRO DE 2005, QUE &quot;PROÍBE A COMERCIALIZAÇÃO, AQUISIÇÃO, CONFECÇÃO E DISTRIBUIÇÃO DE PRODUTOS QUE COLABOREM PARA A OBESIDADE INFANTIL, EM BARES, CANTINAS E SIMILARES INSTALADOS EM ESCOLAS PÚBLICAS E PRIVADAS DO ESTADO DO RIO DE JANEIRO&quot;."/>
    <s v="PAULO RAMOS,LUIZ PAULO"/>
    <x v="3"/>
    <x v="6"/>
    <m/>
    <m/>
    <d v="2026-03-26T00:00:00"/>
    <d v="2026-03-30T00:00:00"/>
    <m/>
    <m/>
    <m/>
    <m/>
    <m/>
    <x v="1"/>
    <m/>
    <m/>
    <m/>
    <m/>
    <s v="http://alerjln1.alerj.rj.gov.br/scpro1519.nsf/18c1dd68f96be3e7832566ec0018d833/281cb9b6242358d883258146005e76cb?OpenDocument"/>
  </r>
  <r>
    <x v="0"/>
    <m/>
    <s v="5906/2022"/>
    <s v="INSTITUI O PROGRAMA “IMUNIDADE EM DIA NAS ESCOLAS” NA REDE PÚBLICA DE ENSINO DO ESTADO DO RIO DE JANEIRO."/>
    <s v="DR DEODALTO"/>
    <x v="3"/>
    <x v="6"/>
    <m/>
    <m/>
    <d v="2026-03-26T00:00:00"/>
    <d v="2026-03-30T00:00:00"/>
    <m/>
    <m/>
    <m/>
    <m/>
    <m/>
    <x v="1"/>
    <m/>
    <m/>
    <m/>
    <m/>
    <s v="http://alerjln1.alerj.rj.gov.br/scpro2327.nsf/34c4e2da9b17c0d3832566ec0018d830/4cef5de5c4a9f82203258a440053fc5f?OpenDocument"/>
  </r>
  <r>
    <x v="0"/>
    <m/>
    <s v="4483/2021"/>
    <s v="INCLUA-SE O PARÁGRAFO ÚNICO NO ART.40 DA LEI Nº 287, DE 04 DE DEZEMBRO DE 1979, QUE APROVA O CÓDIGO DE ADMINISTRAÇÃO FINANCEIRA E CONTABILIDADE PÚBLICA DO ESTADO DO RIO DE JANEIRO E DÁ OUTRAS PROVIDÊNCIAS."/>
    <s v="ANDERSON MORAES"/>
    <x v="3"/>
    <x v="6"/>
    <m/>
    <m/>
    <d v="2026-03-30T00:00:00"/>
    <d v="2026-03-30T00:00:00"/>
    <m/>
    <m/>
    <m/>
    <m/>
    <m/>
    <x v="1"/>
    <m/>
    <m/>
    <m/>
    <m/>
    <s v="http://alerjln1.alerj.rj.gov.br/scpro1923.nsf/18c1dd68f96be3e7832566ec0018d833/54689ffedadae64e0325871b005faed3?OpenDocument"/>
  </r>
  <r>
    <x v="0"/>
    <m/>
    <s v="2878/2020"/>
    <s v="CRIA O CARTÃO DE SEGURANÇA, FERRAMENTA DE AUXÍLIO PARA EVENTUAL NECESSIDADE DE LOCALIZAÇÃO DE CRIANÇAS E ADOLESCENTES DESAPARECIDOS."/>
    <s v="DANNIEL LIBRELON"/>
    <x v="2"/>
    <x v="6"/>
    <m/>
    <m/>
    <d v="2026-04-07T00:00:00"/>
    <d v="2026-04-10T00:00:00"/>
    <m/>
    <m/>
    <m/>
    <m/>
    <m/>
    <x v="1"/>
    <m/>
    <m/>
    <m/>
    <m/>
    <s v="http://alerjln1.alerj.rj.gov.br/scpro1923.nsf/18c1dd68f96be3e7832566ec0018d833/0f36ea55a3199c6d032585a6005b8cf1?OpenDocument"/>
  </r>
  <r>
    <x v="0"/>
    <m/>
    <s v="937/2023"/>
    <s v="DISPÕE SOBRE AS ATRIBUIÇÕES DA DELEGACIA DE DEFESA DOS SERVIÇOS DELEGADOS."/>
    <s v="FABIO F SILVA"/>
    <x v="2"/>
    <x v="6"/>
    <m/>
    <m/>
    <d v="2026-04-07T00:00:00"/>
    <d v="2026-04-10T00:00:00"/>
    <m/>
    <m/>
    <m/>
    <m/>
    <m/>
    <x v="1"/>
    <m/>
    <m/>
    <m/>
    <m/>
    <s v="http://alerjln1.alerj.rj.gov.br/scpro2327.nsf/18c1dd68f96be3e7832566ec0018d833/2ef1c1ab5d960449032589a500459547?OpenDocument"/>
  </r>
  <r>
    <x v="0"/>
    <m/>
    <s v="3318/2024"/>
    <s v="ALTERA A LEI Nº 3469, DE 28 DE SETEMBRO DE 2000, QUE INSTITUI O PROGRAMA ESTADUAL SEGURANÇA NAS ESCOLAS E DÁ OUTRAS PROVIDÊNCIAS."/>
    <s v="INDIA ARMELAU"/>
    <x v="2"/>
    <x v="6"/>
    <m/>
    <m/>
    <d v="2026-04-07T00:00:00"/>
    <d v="2026-04-10T00:00:00"/>
    <m/>
    <m/>
    <m/>
    <m/>
    <m/>
    <x v="1"/>
    <m/>
    <m/>
    <m/>
    <m/>
    <s v="http://alerjln1.alerj.rj.gov.br/scpro2327.nsf/18c1dd68f96be3e7832566ec0018d833/600c32e20f811c4e03258af500576e28?OpenDocument"/>
  </r>
  <r>
    <x v="0"/>
    <m/>
    <s v="EP 4325/2018"/>
    <s v="CRIA O PROGRAMA DE REPARAÇÃO ECONÔMICA PARA AS CRIANÇAS, ADOLESCENTES E JOVENS, FILHOS E FILHAS DE MULHERES VÍTIMAS DE CRIMES DE VIOLÊNCIA CONTRA A MULHER, FEMINICÍDIO OU INVALIDEZ"/>
    <s v="CARLOS MINC"/>
    <x v="2"/>
    <x v="6"/>
    <m/>
    <m/>
    <d v="2026-04-08T00:00:00"/>
    <d v="2026-04-10T00:00:00"/>
    <m/>
    <m/>
    <m/>
    <m/>
    <m/>
    <x v="1"/>
    <m/>
    <m/>
    <m/>
    <m/>
    <s v="http://alerjln1.alerj.rj.gov.br/scpro1519.nsf/18c1dd68f96be3e7832566ec0018d833/15eec9fc65414871832582eb005aed19?OpenDocument"/>
  </r>
  <r>
    <x v="0"/>
    <m/>
    <s v="3122/2020"/>
    <s v="TORNA OBRIGATÓRIA A PRIORIDADE NOS ATENDIMENTOS QUE NECESSITAM DE FILAS, À    PESSOAS_x0009_COM ESPONDILITE ANQUILOSANTE, NO ÂMBITO DO ESTADO DO RIO DE JANEIRO."/>
    <s v="DANNIEL LIBRELON"/>
    <x v="2"/>
    <x v="6"/>
    <m/>
    <m/>
    <d v="2026-04-08T00:00:00"/>
    <d v="2026-04-10T00:00:00"/>
    <m/>
    <m/>
    <m/>
    <m/>
    <m/>
    <x v="1"/>
    <m/>
    <m/>
    <m/>
    <m/>
    <s v="http://alerjln1.alerj.rj.gov.br/scpro1923.nsf/18c1dd68f96be3e7832566ec0018d833/23b079a73fd432fd032585e40055dadc?OpenDocument"/>
  </r>
  <r>
    <x v="0"/>
    <m/>
    <s v="444/2023"/>
    <s v="ALTERA A LEI Nº 9.650 DE 13 DE ABRIL DE 2022, QUE DISPÕE SOBRE NOMEAÇÃO E POSSE DOS CANDIDATOS APROVADOS EM CONCURSO PÚBLICO NO ÂMBITO DO ESTADO DO RIO DE JANEIRO, FORA DO NÚMERO DE VAGAS, MAS DENTRO DO PRAZO DE VALIDADE DO CERTAME, NA FORMA QUE MENCIONA."/>
    <s v="RODRIGO AMORIM"/>
    <x v="2"/>
    <x v="6"/>
    <m/>
    <m/>
    <d v="2026-04-08T00:00:00"/>
    <d v="2026-04-10T00:00:00"/>
    <m/>
    <m/>
    <m/>
    <m/>
    <m/>
    <x v="1"/>
    <m/>
    <m/>
    <m/>
    <m/>
    <s v="http://alerjln1.alerj.rj.gov.br/scpro2327.nsf/18c1dd68f96be3e7832566ec0018d833/6c14e02fed3c5a11032589730065a7a0?OpenDocument"/>
  </r>
  <r>
    <x v="0"/>
    <m/>
    <s v="799/2023"/>
    <s v="CRIA O PROGRAMA DE EDUCAÇÃO E FISCALIZAÇÃO PARA AMPLIAR A PROTEÇÃO DOS AGENTES DE SEGURANÇA PÚBLICA E PRIVADA; COLECIONADORES, ATIRADORES E CAÇADORES (CACS) E CIVIS, EM CASO DE PORTE DE ARMA DE FOGO SOB EFEITO DE BEBIDA ALCOÓLICA."/>
    <s v="CARLOS MINC"/>
    <x v="2"/>
    <x v="6"/>
    <m/>
    <m/>
    <d v="2026-04-08T00:00:00"/>
    <d v="2026-04-10T00:00:00"/>
    <m/>
    <m/>
    <m/>
    <m/>
    <m/>
    <x v="1"/>
    <m/>
    <m/>
    <m/>
    <m/>
    <s v="http://alerjln1.alerj.rj.gov.br/scpro2327.nsf/18c1dd68f96be3e7832566ec0018d833/7d08552a1be92dcc0325899600755edf?OpenDocument"/>
  </r>
  <r>
    <x v="0"/>
    <m/>
    <s v="2162/2023"/>
    <s v="CRIA O CENTRO CULTURAL CIÊNCIAS FORENSES DO ESTADO DO RIO DE JANEIRO E DÁ OUTRAS PROVIDÊNCIAS"/>
    <s v="CARLOS MINC"/>
    <x v="6"/>
    <x v="6"/>
    <m/>
    <m/>
    <d v="2026-04-08T00:00:00"/>
    <d v="2026-05-26T00:00:00"/>
    <m/>
    <m/>
    <m/>
    <m/>
    <m/>
    <x v="1"/>
    <s v="Estava com Dep. Vinícius Cozzolino, a partir de 10/04/2026, e quando o mesmo deixou a comissão, pegamos de volta"/>
    <m/>
    <m/>
    <m/>
    <s v="http://alerjln1.alerj.rj.gov.br/scpro2327.nsf/18c1dd68f96be3e7832566ec0018d833/a78253b4759fb00c03258a3500677ec2?OpenDocument"/>
  </r>
  <r>
    <x v="0"/>
    <m/>
    <s v="2250/2023"/>
    <s v="CRIA CRITÉRIOS PARA GARANTIR A TRANSPARÊNCIA PARA AS POLÍTICAS HABITACIONAIS DE INTERESSE SOCIAL E DÁ OUTRAS PROVIDÊNCIAS."/>
    <s v="CLAUDIO CAIADO"/>
    <x v="0"/>
    <x v="6"/>
    <m/>
    <m/>
    <d v="2026-04-08T00:00:00"/>
    <d v="2026-05-26T00:00:00"/>
    <m/>
    <m/>
    <m/>
    <m/>
    <m/>
    <x v="1"/>
    <s v="Estava com Dep. Vinícius Cozzolino, a partir de 10/04/2026, e quando o mesmo deixou a comissão, pegamos de volta"/>
    <m/>
    <m/>
    <m/>
    <s v="http://alerjln1.alerj.rj.gov.br/scpro2327.nsf/18c1dd68f96be3e7832566ec0018d833/657b9326dfe407ed03258a3d004bb0ab?OpenDocument"/>
  </r>
  <r>
    <x v="0"/>
    <m/>
    <s v="2782/2023"/>
    <s v="REGULAMENTA O DISPOSTO NO INCISO IV DO ARTIGO 7º DA LEI 7989 DE 14 DE JUNHO DE 2018 QUE “DISPÕE SOBRE O SISTEMA DE CONTROLE INTERNO DO PODER EXECUTIVO DO ESTADO DO RIO DE JANEIRO, CRIA A CONTROLADORIA GERAL DO ESTADO DO RIO DE JANEIRO E O FUNDO DE APRIMORAMENTO DE CONTROLE INTERNO, ORGANIZA AS CARREIRAS DE CONTROLE INTERNO, E DÁ OUTRAS PROVIDÊNCIAS”."/>
    <s v="CARLOS MINC"/>
    <x v="6"/>
    <x v="6"/>
    <m/>
    <m/>
    <d v="2026-04-08T00:00:00"/>
    <d v="2026-05-26T00:00:00"/>
    <m/>
    <m/>
    <m/>
    <m/>
    <m/>
    <x v="1"/>
    <s v="Estava com Dep. Vinícius Cozzolino, a partir de 10/04/2026, e quando o mesmo deixou a comissão, pegamos de volta"/>
    <m/>
    <m/>
    <m/>
    <s v="http://alerjln1.alerj.rj.gov.br/scpro2327.nsf/18c1dd68f96be3e7832566ec0018d833/1a3465ca0091c7ce03258a840067a3cd?OpenDocument"/>
  </r>
  <r>
    <x v="0"/>
    <m/>
    <s v="4511/2024"/>
    <s v="ALTERA A LEI Nº 5.588/2009 PARA INCLUIR OS POLICIAIS PENAIS DO ESTADO DO RIO DE JANEIRO NO ROL DE AGENTES DE SEGURANÇA DE QUE TRATA A REFERIDA LEI."/>
    <s v="CARLOS MINC"/>
    <x v="13"/>
    <x v="6"/>
    <m/>
    <m/>
    <d v="2026-04-08T00:00:00"/>
    <d v="2026-05-26T00:00:00"/>
    <m/>
    <m/>
    <m/>
    <m/>
    <m/>
    <x v="1"/>
    <s v="Estava com Dep. Vinícius Cozzolino, a partir de 10/04/2026, e quando o mesmo deixou a comissão, pegamos de volta"/>
    <m/>
    <m/>
    <m/>
    <s v="http://alerjln1.alerj.rj.gov.br/scpro2327.nsf/18c1dd68f96be3e7832566ec0018d833/8f85b8eebd67d65403258be9006bc24a?OpenDocument"/>
  </r>
  <r>
    <x v="0"/>
    <m/>
    <s v="EP 1605/2019"/>
    <s v="EMENTA: CRIA O PROGRAMA DE FORMAÇÃO PARA ENFRENTAMENTO DA VIOLÊNCIA CONTRA AS ESTUDANTES, VOLTADO AOS DOCENTES E CORPO FUNCIONAL, PARA IDENTIFICAÇAO E ENCAMINHAMENTO DOS CASOS DE ABUSOS/VIOLÊNCIA, NO ÂMBITO DAS ESCOLAS ESTADUAIS DO ESTADO DO RIO DE JANEIRO."/>
    <s v="ENFERMEIRA REJANE,CHICÃO BULHÕES,DANI MONTEIRO,MARTHA ROCHA,MÔNICA FRANCISCO,RENATA SOUZA,ROSANE FÉLIX,ZEIDAN LULA,TIA JU"/>
    <x v="3"/>
    <x v="6"/>
    <m/>
    <m/>
    <d v="2026-04-09T00:00:00"/>
    <d v="2026-05-26T00:00:00"/>
    <m/>
    <m/>
    <m/>
    <m/>
    <m/>
    <x v="1"/>
    <s v="Estava com Dep. Vinícius Cozzolino, a partir de 10/04/2026, e quando o mesmo deixou a comissão, pegamos de volta"/>
    <m/>
    <m/>
    <m/>
    <s v="http://alerjln1.alerj.rj.gov.br/scpro1923.nsf/18c1dd68f96be3e7832566ec0018d833/35cc8d08de71ca5c832584aa0050822c?OpenDocument"/>
  </r>
  <r>
    <x v="0"/>
    <m/>
    <s v="2470/2020"/>
    <s v="DISPÕE SOBRE A OBRIGATORIEDADE DE LIMITAR O TEMPO DE ESPERA DE ATENDIMENTO NAS UNIDADES DE SAÚDE DA REDE PÚBLICA DO ESTADO DO RIO DE JANEIRO E DÁ OUTRAS PROVIDÊNCIAS."/>
    <s v="DANNIEL LIBRELON"/>
    <x v="14"/>
    <x v="6"/>
    <m/>
    <m/>
    <s v="MUITO TEMPO_x000a_ATRÁS"/>
    <m/>
    <m/>
    <m/>
    <m/>
    <m/>
    <m/>
    <x v="1"/>
    <s v="Fui ao gabinete em 13/04/2026 e anotei esses projeto parados lá_x000a_Retirei do gab. Do relator ANDRÉ CORREA, pois mudou a composição da Com."/>
    <m/>
    <m/>
    <m/>
    <s v="http://alerjln1.alerj.rj.gov.br/scpro1923.nsf/18c1dd68f96be3e7832566ec0018d833/9c45a6b45aa800b9032585590058143f?OpenDocument"/>
  </r>
  <r>
    <x v="0"/>
    <m/>
    <s v="1984/2020"/>
    <s v="AUTORIZA O PODER EXECUTIVO A ADOTAR MEDIDAS DE CONTENÇÃO À EPIDEMIAS VIRAIS NO ESTADO DO RIO DE JANEIRO."/>
    <s v="ANDRÉ L. CECILIANO"/>
    <x v="12"/>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c7ebb0c0d6b2a3c2032585280067d1d3?OpenDocument"/>
  </r>
  <r>
    <x v="0"/>
    <m/>
    <s v="742/2023"/>
    <s v="DISPÕE SOBRE A CRIAÇÃO DE CADASTRO ESTADUAL PARA BLOQUEIO DO RECEBIMENTO DE LIGAÇÕES DE TELEMARKETING NO ESTADO DO RIO DE JANEIRO."/>
    <s v="VALDECY DA SAUDE"/>
    <x v="8"/>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9df47d85772b21590325898100509ab0?OpenDocument"/>
  </r>
  <r>
    <x v="0"/>
    <m/>
    <s v="6425/2022"/>
    <s v="ALTERA A LEI Nº 5.260, DE 11 DE JUNHO DE 2008, PARA REVOGAR A ALÍNEA “A”, DO INCISO II E A ALÍNEA “A” DO INCISO III, AMBAS DO ARTIGO 18, ONDE ESTABELECE O REGIME JURÍDICO PRÓPRIO E ÚNICO DA PREVIDÊNCIA SOCIAL E DÁ OUTRAS PROVIDÊNCIAS."/>
    <s v="CELIA JORDÃO"/>
    <x v="13"/>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bf26d1774ec2683b032588da0068fa67?OpenDocument"/>
  </r>
  <r>
    <x v="0"/>
    <m/>
    <s v="2226/2013"/>
    <s v="DISPÕE SOBRE A CRIAÇÃO DO PROGRAMA ESTADUAL DE PREVENÇÃO E COMBATE À CISTICERCOSE, A SER IMPLANTADO EM TODAS AS ESCOLAS E CRECHES LOCALIZADAS NO ÂMBITO DO ESTADO DO RIO DE JANEIRO."/>
    <s v="BERNARDO ROSSI"/>
    <x v="3"/>
    <x v="6"/>
    <m/>
    <m/>
    <s v="MUITO TEMPO_x000a_ATRÁS"/>
    <d v="2026-05-26T00:00:00"/>
    <m/>
    <m/>
    <m/>
    <m/>
    <m/>
    <x v="1"/>
    <s v="Fui ao gabinete em 13/04/2026 e anotei esses projeto parados lá_x000a_Retirei do gab. Do relator ANDRÉ CORREA, pois mudou a composição da Com."/>
    <m/>
    <m/>
    <m/>
    <s v="http://alerjln1.alerj.rj.gov.br/scpro1115.nsf/18c1dd68f96be3e7832566ec0018d833/fd8008ca19ae2dff83257b72004efe27?OpenDocument"/>
  </r>
  <r>
    <x v="0"/>
    <m/>
    <s v="3898/2021"/>
    <s v="DISPÕE SOBRE A CRIAÇÂO DE UMA COPA DE FUTSAL MASCULINA E FEMININA A SER DISPUTADA POR ALUNOS QUE REPRESENTEM AS ESCOLAS ESTADUAIS DO RIO DE JANEIRO"/>
    <s v="MARCELO DINO"/>
    <x v="6"/>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d0d33c9fbbe258c70325869c005e57a3?OpenDocument"/>
  </r>
  <r>
    <x v="0"/>
    <m/>
    <s v="5731/2022"/>
    <s v="DISPÕE SOBRE O SALÁRIO BASE DOS PROFISSIONAIS DA SECRETARIA DE ESTADO DE EDUCAÇÃO (SEEDUC) E DE SEU QUADRO DE APOIO."/>
    <s v="SERGIO FERNANDES"/>
    <x v="13"/>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919220158275269c03258816006d7fc0?OpenDocument"/>
  </r>
  <r>
    <x v="0"/>
    <m/>
    <s v="2553/2023"/>
    <s v="CRIA O LIVRO DE HONRA DAS EDUCADORAS E DOS EDUCADORES DO ESTADO DO RIO DE JANEIRO"/>
    <s v="ELIKA TAKIMOTO"/>
    <x v="5"/>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4698fb502c1b7d0a03258a67005fbd71?OpenDocument"/>
  </r>
  <r>
    <x v="0"/>
    <m/>
    <s v="1237/2023"/>
    <s v="DISPÕE SOBRE A IMPLANTAÇÃO DO PROGRAMA DE PREVENÇÃO E COMBATE A JOGOS QUE INDUZEM CRIANÇAS E ADOLESCENTES A PRÁTICA DE HOMICÍDIOS, AUTOMUTILAÇÃO E AO SUICÍDIO, NO ÂMBITO DO ESTADO DO RIO DE JANEIRO."/>
    <s v="ROSENVERG REIS"/>
    <x v="11"/>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e323e5add6ceb07c032589c6005d5c25?OpenDocument"/>
  </r>
  <r>
    <x v="0"/>
    <m/>
    <s v="2565/2023"/>
    <s v="DISPÕE SOBRE A CRIAÇÃO DO “PROGRAMA YOGA E MEDITAÇÃO NAS ESCOLAS” NA REDE ESTADUAL DE EDUCAÇÃO DO ESTADO DO RIO DE JANEIRO."/>
    <s v="ANDREZINHO CECILIANO"/>
    <x v="3"/>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d73a98bc545f9e4d03258a66006f5443?OpenDocument"/>
  </r>
  <r>
    <x v="0"/>
    <m/>
    <s v="5439/2022"/>
    <s v="AUTORIZA O PODER EXECUTIVO A PROCEDER A  REESTRUTURAÇÃO DAS CARREIRAS DOS SERVIDORES CIVIS DA POLÍCIA MILITAR E DO CORPO DE BOMBEIROS DO ESTADO DO RIO DE JANEIRO"/>
    <s v="LUIZ PAULO,LUCINHA"/>
    <x v="13"/>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e5c3f8291b0e568a032587ec005d4b9b?OpenDocument"/>
  </r>
  <r>
    <x v="0"/>
    <m/>
    <s v="2739/2017"/>
    <s v="ALTERA A LEI Nº 5.065, DE 05 DE JULHO DE 2007, PARA INSTITUIR INCENTIVO À RECICLAGEM DO ÓLEO DE COZINHA PARA A PRODUÇÃO DE BIODIESEL, NA FORMA QUE MENCIONA."/>
    <s v="ÁTILA NUNES"/>
    <x v="0"/>
    <x v="6"/>
    <m/>
    <m/>
    <s v="MUITO TEMPO_x000a_ATRÁS"/>
    <d v="2026-05-26T00:00:00"/>
    <m/>
    <m/>
    <m/>
    <m/>
    <m/>
    <x v="1"/>
    <s v="Fui ao gabinete em 13/04/2026 e anotei esses projeto parados lá_x000a_Retirei do gab. Do relator ANDRÉ CORREA, pois mudou a composição da Com."/>
    <m/>
    <m/>
    <m/>
    <s v="http://alerjln1.alerj.rj.gov.br/scpro1519.nsf/18c1dd68f96be3e7832566ec0018d833/76cafe2d0042e55483258114005c0518?OpenDocument"/>
  </r>
  <r>
    <x v="0"/>
    <m/>
    <s v="3713/2021"/>
    <s v="AUTORIZA OS ÓRGÃOS E ENTIDADES INTEGRANTES DA ADMINISTRAÇÃO PÚBLICA DIRETA E INDIRETA DE QUALQUER DOS PODERES DO ESTADO, BEM COMO O MINISTÉRIO PÚBLICO ESTADUAL, O TRIBUNAL DE CONTAS DO ESTADO E A DEFENSORIA PÚBLICA DO ESTADO, A REALIZAR O DESCONTO NA REMUNERAÇÃO, PROVENTOS E PENSÕES DE SEUS MEMBROS OU SERVIDORES, ATIVOS OU INATIVOS, DO VALOR REFERENTE AO AUXÍLIO EMERGENCIAL RECEBIDO EM DESCONFORMIDADE COM A LEI FEDERAL Nº 13.982, DE 2 DE ABRIL DE 2020."/>
    <s v="RODRIGO BACELLAR"/>
    <x v="13"/>
    <x v="6"/>
    <m/>
    <m/>
    <s v="MUITO TEMPO_x000a_ATRÁS"/>
    <m/>
    <m/>
    <m/>
    <m/>
    <m/>
    <m/>
    <x v="1"/>
    <s v="Fui ao gabinete em 13/04/2026 e anotei esses projeto parados lá_x000a_Retirei do gab. Do relator ANDRÉ CORREA, pois mudou a composição da Com."/>
    <m/>
    <m/>
    <m/>
    <s v="http://alerjln1.alerj.rj.gov.br/scpro1923.nsf/18c1dd68f96be3e7832566ec0018d833/0a7e3c3543d688b903258686004f5e05?OpenDocument"/>
  </r>
  <r>
    <x v="0"/>
    <m/>
    <s v="148/2019"/>
    <s v="DISPÕE SOBRE MEDIDAS NECESSSÁRIAS PARA RESSARCIMENTO DO CONTRIBUINTE QUE EFETUOU O PAGAMENTO DO IPVA (IMPOSTO SOBRE A PROPRIEDADE DE VEÍCULOS AUTOMOTORES), BEM COMO, TAXA DE LICENCIAMENTO ANUAL DE VEÍCULOS PARA EMISSÃO DO CERTIFICADO DE REGISTRO  E LICENCIAMENTO DE VEÍCULO, EM DOBRO OU DE FORMA IRREGULAR E DÁ  OUTRAS PROVIDÊNCIAS."/>
    <s v="CHICO MACHADO"/>
    <x v="13"/>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4ae1cb9f13cb16ea832583a80057d23c?OpenDocument"/>
  </r>
  <r>
    <x v="0"/>
    <m/>
    <s v="886/2019"/>
    <s v="DISPÕE SOBRE A PRÁTICA DE JOGOS ELETRÔNICOS COMO ATIVIDADE ESPORTIVA E CULTURAL."/>
    <s v="MARCELO DO SEU DINO"/>
    <x v="6"/>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38cb7074ed76ba488325842c00637448?OpenDocument"/>
  </r>
  <r>
    <x v="0"/>
    <m/>
    <s v="3474/2024"/>
    <s v="ALTERA-SE A LEI Nº 3350, DE 29 DE DEZEMBRO DE 1999, QUE DISPÕE SOBRE AS CUSTAS JUDICIAIS E EMOLUMENTOS DOS SERVIÇOS NOTARIAIS E DE REGISTROS NO ESTADO DO RIO DE JANEIRO E DÁ OUTRAS PROVIDÊNCIAS."/>
    <s v="CARLA MACHADO"/>
    <x v="6"/>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0db4acb886ee2c8903258b0a005ec7f9?OpenDocument"/>
  </r>
  <r>
    <x v="0"/>
    <m/>
    <s v="1499/2023"/>
    <s v="ALTERA O DECRETO-LEI Nº5, DE 15 DE MARÇO DE 1975, E DÁ OUTRAS PROVIDÊNCIAS."/>
    <s v="ANDERSON MORAES"/>
    <x v="6"/>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a64fb64a238658e0032589dc0068fdb0?OpenDocument"/>
  </r>
  <r>
    <x v="0"/>
    <m/>
    <s v="4882/2021"/>
    <s v="AUTORIZA AO CHEFE DO PODER EXECUTIVO A CRIAR FORMAS SIMPLIFICADAS DE RECOLHIMENTOS DE IMPOSTOS, TAXAS, TRIBUTOS, MULTAS E CONTRIBUIÇÕES DE MELHORIAS ESTATUAIS E OUTRAS NO ÂMBITO DO ESTADO DO RIO DE JANEIRO"/>
    <s v="CHICO MACHADO"/>
    <x v="6"/>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cdcca2387fa392620325875700552039?OpenDocument"/>
  </r>
  <r>
    <x v="0"/>
    <m/>
    <s v="238/2015"/>
    <s v="ESTABELECE A POLÍTICA ESTADUAL DE MOBILIDADE URBANA E REGIONAL, INSTITUI O SISTEMA ESTADUAL DE TRANSPORTE PÚBLICO E MOBILIDADE E DÁ OUTRAS PROVIDÊNCIAS."/>
    <s v="ELIOMAR COELHO"/>
    <x v="6"/>
    <x v="6"/>
    <m/>
    <m/>
    <s v="MUITO TEMPO_x000a_ATRÁS"/>
    <d v="2026-05-26T00:00:00"/>
    <m/>
    <m/>
    <m/>
    <m/>
    <m/>
    <x v="1"/>
    <s v="Fui ao gabinete em 13/04/2026 e anotei esses projeto parados lá_x000a_Retirei do gab. Do relator ANDRÉ CORREA, pois mudou a composição da Com."/>
    <m/>
    <m/>
    <m/>
    <s v="http://alerjln1.alerj.rj.gov.br/scpro1519.nsf/18c1dd68f96be3e7832566ec0018d833/92cbcc0c4555587383257e19005331c3?OpenDocument"/>
  </r>
  <r>
    <x v="0"/>
    <m/>
    <s v="3189/2020"/>
    <s v="INSTITUI A CÂMARA DE CONCILIAÇÃO DE PRECATÓRIOS PREVISTA NO ART. 97, §8º, INCISO III, DO ATO DAS DISPOSIÇÕES CONSTITUCIONAIS TRANSITÓRIAS – ADCT DA CONSTITUIÇÃO FEDERAL."/>
    <s v="RODRIGO BACELLAR"/>
    <x v="6"/>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6238bf1620c9fd71032585fa005c4b27?OpenDocument"/>
  </r>
  <r>
    <x v="0"/>
    <m/>
    <s v="448/2023"/>
    <s v="DISPÕE SOBRE A PRIORIZAÇÃO DE TRANSFERÊNCIA DE ALUNOS MATRICULADOS NAS ESCOLAS DA REDE ESTADUAL DE ENSINO, EM RAZÃO DE INCAPACIDADE TEMPORÁRIA OU DEFINITIVA DAS UNIDADES ESTADUAIS."/>
    <s v="SERGIO FERNANDES"/>
    <x v="11"/>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d2bd6649a580229d0325897300693449?OpenDocument"/>
  </r>
  <r>
    <x v="0"/>
    <m/>
    <s v="423/2023"/>
    <s v="DISPÕE SOBRE A CRIAÇÃO DO PROGRAMA DE GEORREFERÊNCIAMENTO PARA O MONITORAMENTO DAS CONSTRUÇÕES EM ÁREAS DE RISCO NO ÂMBITO DO ESTADO DO RIO DE JANEIRO E DÁ OUTRAS PROVIDÊNCIAS."/>
    <s v="BERNARDO ROSSI"/>
    <x v="0"/>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a3ca7663ff7912d10325897000686e09?OpenDocument"/>
  </r>
  <r>
    <x v="0"/>
    <m/>
    <s v="19/2023"/>
    <s v="DISPÕE SOBRE A MATRÍCULA DE FILHOS E/OU DEPENDENTES LEGAIS DE AGENTES DE SEGURANÇA PÚBLICA EM ESTABELECIMENTOS DA REDE PÚBLICA ESTADUAL DE ENSINO."/>
    <s v="ALAN LOPES"/>
    <x v="11"/>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412866a18e9758930325894a00522811?OpenDocument"/>
  </r>
  <r>
    <x v="0"/>
    <m/>
    <s v="6024/2022"/>
    <s v="DISPÕE SOBRE A INSTALAÇÃO DE SISTEMA DE ALTO-FALANTE E MICROFONE PARA COMUNICAÇÃO NAS VIATURAS DAS POLÍCIAS MILITAR, CIVIL, PENAL E BOMBEIROS MILITARES."/>
    <s v="MARCELO DO SEU DINO"/>
    <x v="11"/>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6649ef365c0a19bd032588520076e100?OpenDocument"/>
  </r>
  <r>
    <x v="0"/>
    <m/>
    <s v="1787/2023"/>
    <s v="DISPÕE SOBRE A IMPLANTAÇÃO DO SISTEMA DE ENERGIA SOLAR FOTOVOLTAICA NOS ESTABELECIMENTOS EM QUE ESTEJAM EM FUNCIONAMENTO OS ÓRGÃOS DA SEGURANÇA PÚBLICA, NO ÂMBITO DO ESTADO DO RIO DE JANEIRO, NA FORMA EM QUE MENCIONA."/>
    <s v="ROSENVERG REIS"/>
    <x v="11"/>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18d7a30bea839ed503258a0e0061d9f6?OpenDocument"/>
  </r>
  <r>
    <x v="0"/>
    <m/>
    <s v="1171/2023"/>
    <s v="TORNA OBRIGATÓRIA A DIVULGAÇÃO DE ALERTA EM EVENTOS ESPORTIVOS E ARTÍSTICOS NO ÂMBITO DO ESTADO DO RIO DE JANEIRO SOBRE OS CRIMES DE DISCRIMINAÇÃO OU PRECONCEITO DE RAÇA, COR, ETNIA, RELIGIÃO OU PROCEDÊNCIA NACIONAL."/>
    <s v="DOUGLAS RUAS"/>
    <x v="13"/>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0403a811b0387d47032589bf0057c049?OpenDocument"/>
  </r>
  <r>
    <x v="0"/>
    <m/>
    <s v="924/2023"/>
    <s v="ESTABELECE MEDIDAS DE SEGURANÇA AO ACESSO DE VISITANTES AS UNIDADES ESCOLARES PÚBLICAS DO ESTADO DO RIO DE JANEIRO"/>
    <s v="ANDERSON MORAES"/>
    <x v="3"/>
    <x v="6"/>
    <m/>
    <m/>
    <s v="MUITO TEMPO_x000a_ATRÁS"/>
    <d v="2026-05-26T00:00:00"/>
    <m/>
    <m/>
    <m/>
    <m/>
    <m/>
    <x v="1"/>
    <s v="Fui ao gabinete em 13/04/2026 e anotei esses projeto parados lá_x000a_Retirei do gab. Do relator ANDRÉ CORREA, pois mudou a composição da Com."/>
    <m/>
    <m/>
    <m/>
    <s v="http://alerjln1.alerj.rj.gov.br/scpro2327.nsf/18c1dd68f96be3e7832566ec0018d833/87218c54344a0d24032589a4005c44b3?OpenDocument"/>
  </r>
  <r>
    <x v="0"/>
    <m/>
    <s v="EP 3674/2017"/>
    <s v="ALTERA A LEI Nº 5.196, DE 05 DE MARÇO DE 2008, PARA ACRESCENTAR DIRETRIZES A SEREM EXECUTADAS PELO PROGRAMA DE COMBATE À OBESIDADE DO ESTUDANTE DAS REDES PÚBLICA E PRIVADA DE ENSINO, NA FORMA QUE MENCIONA."/>
    <s v="ÁTILA NUNES"/>
    <x v="3"/>
    <x v="6"/>
    <m/>
    <m/>
    <s v="MUITO TEMPO_x000a_ATRÁS"/>
    <d v="2026-05-26T00:00:00"/>
    <m/>
    <m/>
    <m/>
    <m/>
    <m/>
    <x v="1"/>
    <s v="Fui ao gabinete em 13/04/2026 e anotei esses projeto parados lá_x000a_Retirei do gab. Do relator ANDRÉ CORREA, pois mudou a composição da Com."/>
    <m/>
    <m/>
    <m/>
    <s v="http://alerjln1.alerj.rj.gov.br/scpro1519.nsf/18c1dd68f96be3e7832566ec0018d833/de8a19f8cd9c3f88832581e800566296?OpenDocument"/>
  </r>
  <r>
    <x v="0"/>
    <m/>
    <s v="5758/2022"/>
    <s v="DISPÕE SOBRE A CRIAÇÃO DO PORTAL TEA PARA A PROMOÇÃO E A EFETIVAÇÃO DOS DIREITOS DA PESSOA COM TRANSTORNO DO ESPECTRO AUTISTA."/>
    <s v="ALANA PASSOS, Samuel Malafaia"/>
    <x v="4"/>
    <x v="6"/>
    <m/>
    <s v="PLENÁRIO"/>
    <s v="MUITO TEMPO_x000a_ATRÁS"/>
    <m/>
    <m/>
    <d v="2026-05-18T00:00:00"/>
    <m/>
    <m/>
    <m/>
    <x v="0"/>
    <s v="Fui ao gabinete em 13/04/2026 e anotei esses projeto parados lá_x000a_Retirei do gab. Do relator ANDRÉ CORREA, pois mudou a composição da Com._x000a_** Retirado em 18/05 para ir a plenário"/>
    <m/>
    <m/>
    <m/>
    <s v="http://alerjln1.alerj.rj.gov.br/scpro1923.nsf/18c1dd68f96be3e7832566ec0018d833/6c446c3c7a1e66f30325881b0073335a?OpenDocument"/>
  </r>
  <r>
    <x v="0"/>
    <m/>
    <s v="2139/2020"/>
    <s v="MODIFICA A LEI N° 6.041/2011 PARA AMPLIAR A POSSIBILIDADE DE TRANSFERÊNCIA VOLUNTÁRIA DE RECURSOS DO FUNDO ESPECIAL DA ASSEMBLEIA LEGISLATIVA DO ESTADO DO RIO DE JANEIRO PARA OUTROS ENTES DA FEDERAÇÃO."/>
    <s v="FLÁVIO SERAFINI,RENATA SOUZA,MÔNICA FRANCISCO,DANI MONTEIRO"/>
    <x v="13"/>
    <x v="6"/>
    <m/>
    <m/>
    <s v="MUITO TEMPO_x000a_ATRÁS"/>
    <d v="2026-05-26T00:00:00"/>
    <m/>
    <m/>
    <m/>
    <m/>
    <m/>
    <x v="1"/>
    <s v="Fui ao gabinete em 13/04/2026 e anotei esses projeto parados lá_x000a_Retirei do gab. Do relator ANDRÉ CORREA, pois mudou a composição da Com."/>
    <m/>
    <m/>
    <m/>
    <s v="http://alerjln1.alerj.rj.gov.br/scpro1923.nsf/18c1dd68f96be3e7832566ec0018d833/525a1553525813100325853500557e21?OpenDocument"/>
  </r>
  <r>
    <x v="0"/>
    <m/>
    <s v="213/2023"/>
    <s v="FICA INSTITUÍDO O PROGRAMA COZINHA SOLIDÁRIA, QUE DISPÕE SOBRE A DISTRIBUIÇÃO DE ALIMENTAÇÃO GRATUITA PREFERENCIALMENTE À POPULAÇÃO EM SITUAÇÃO DE VULNERABILIDADE E RISCO SOCIAL, INCLUINDO A POPULAÇÃO EM SITUAÇÃO DE RUA, VISANDO A PROMOÇÃO DE POLÍTICAS DE SEGURANÇA ALIMENTAR E NUTRICIONAL, DE ASSISTÊNCIA SOCIAL, EFETIVAÇÃO DE DIREITOS SOCIAIS, DIGNIDADE HUMANA, RESGATE SOCIAL E MELHORIA DA QUALIDADE DE VIDA, NO ÂMBITO DO ESTADO DO RIO DE JANEIRO."/>
    <s v="RENATA SOUZA"/>
    <x v="8"/>
    <x v="6"/>
    <m/>
    <s v="PLENÁRIO"/>
    <d v="2026-04-14T00:00:00"/>
    <m/>
    <m/>
    <d v="2026-04-14T00:00:00"/>
    <m/>
    <m/>
    <m/>
    <x v="0"/>
    <s v="Foi feito na 2aRE de 2025 e teve pedido de vista do Dep. Cozzolino. Foi a plenário em 14.04.2026."/>
    <m/>
    <m/>
    <m/>
    <s v="http://alerjln1.alerj.rj.gov.br/scpro2327.nsf/18c1dd68f96be3e7832566ec0018d833/2bbcd9627347136d032589560067b2f3?OpenDocument"/>
  </r>
  <r>
    <x v="0"/>
    <m/>
    <s v="2666/2020"/>
    <s v="ALTERA A LEI Nº 6629, DE 12 DE DEZEMBRO DE 2013 “OBRIGA OS HOSPITAIS PARTICULARES LOCALIZADOS NO ESTADO DO RIO DE JANEIRO A DIVULGAREM, EM LOCAL DE FÁCIL VISUALIZAÇÃO, QUADRO CONTENDO A ATUALIZAÇÃO DE LEITOS DISPONÍVEIS”, PARA INCLUIR AS CLÍNICAS PARTICULARES E ESTABELECER MULTA DIÁRIA NOS CASOS DE DESCUMPRIMENTO DA NORMA E DÁ OUTRAS PROVIDÊNCIAS."/>
    <s v="CARLOS MINC"/>
    <x v="8"/>
    <x v="6"/>
    <m/>
    <m/>
    <d v="2026-04-22T00:00:00"/>
    <d v="2026-05-26T00:00:00"/>
    <m/>
    <m/>
    <m/>
    <m/>
    <m/>
    <x v="1"/>
    <m/>
    <m/>
    <m/>
    <m/>
    <s v="http://alerjln1.alerj.rj.gov.br/scpro1923.nsf/18c1dd68f96be3e7832566ec0018d833/4101e03370bc0e840325856d006b1201?OpenDocument"/>
  </r>
  <r>
    <x v="0"/>
    <m/>
    <s v="1955/2023"/>
    <s v="INSTITUI A SEMANA ESTADUAL DE CONSCIENTIZAÇÃO SOBRE AS DOENÇAS TROPICAIS NEGLIGENCIADAS NO ÂMBITO DO ESTADO DO RIO DE JANEIRO."/>
    <s v="ELIKA TAKIMOTO"/>
    <x v="3"/>
    <x v="6"/>
    <m/>
    <m/>
    <d v="2026-04-22T00:00:00"/>
    <d v="2026-05-26T00:00:00"/>
    <m/>
    <m/>
    <m/>
    <m/>
    <m/>
    <x v="1"/>
    <m/>
    <m/>
    <m/>
    <m/>
    <s v="http://alerjln1.alerj.rj.gov.br/scpro2327.nsf/18c1dd68f96be3e7832566ec0018d833/ad9dcd52bf6182b203258a1d00667c0a?OpenDocument"/>
  </r>
  <r>
    <x v="0"/>
    <m/>
    <s v="2872/2024"/>
    <s v="DISPÕE SOBRE A CRIAÇÃO DE UMA PLATAFORMA DE INFORME ESTADUAL PARA REGISTRO DE CASOS DE LEISHMANIOSE, LEPTOSPIROSE E ESPOROTRICOSE EM ANIMAIS ATENDIDOS POR VETERINÁRIOS E TORNA A NOTIFICAÇÃO DESSAS DOENÇAS COMPULSÓRIA."/>
    <s v="MARTHA ROCHA"/>
    <x v="8"/>
    <x v="6"/>
    <m/>
    <m/>
    <d v="2026-04-22T00:00:00"/>
    <d v="2026-05-26T00:00:00"/>
    <m/>
    <m/>
    <m/>
    <m/>
    <m/>
    <x v="1"/>
    <m/>
    <m/>
    <m/>
    <m/>
    <s v="http://alerjln1.alerj.rj.gov.br/scpro2327.nsf/18c1dd68f96be3e7832566ec0018d833/b727f287d86a9a7c03258aba00508182?OpenDocument"/>
  </r>
  <r>
    <x v="0"/>
    <m/>
    <s v="4184/2024"/>
    <s v="ALTERA A LEI Nº 3.613, DE 18 DE JULHO DE 2001, QUE “DISPÕE SOBRE OS DIREITOS DOS USUÁRIOS DOS SERVIÇOS E DAS AÇÕES DE SAÚDE NO ESTADO DO RIO DE JANEIRO E DÁ OUTRAS PROVIDÊNCIAS.”"/>
    <s v="THIAGO GAGLIASSO"/>
    <x v="8"/>
    <x v="6"/>
    <m/>
    <m/>
    <d v="2026-04-22T00:00:00"/>
    <d v="2026-05-26T00:00:00"/>
    <m/>
    <m/>
    <m/>
    <m/>
    <m/>
    <x v="1"/>
    <m/>
    <m/>
    <m/>
    <m/>
    <s v="http://alerjln1.alerj.rj.gov.br/scpro2327.nsf/18c1dd68f96be3e7832566ec0018d833/1e2ae9c22189fcfc03258ba20054af25?OpenDocument"/>
  </r>
  <r>
    <x v="0"/>
    <m/>
    <s v="4975/2025"/>
    <s v="DISPÕE SOBRE A DISTRIBUIÇÃO GRATUITA DE SUPLEMENTOS VITAMÍNICOS E MINERAIS PARA PACIENTES BARIÁTRICOS NO ESTADO DO RIO DE JANEIRO."/>
    <s v="GISELLE MONTEIRO"/>
    <x v="5"/>
    <x v="6"/>
    <m/>
    <m/>
    <d v="2026-04-22T00:00:00"/>
    <d v="2026-05-26T00:00:00"/>
    <m/>
    <m/>
    <m/>
    <m/>
    <m/>
    <x v="1"/>
    <m/>
    <m/>
    <m/>
    <m/>
    <s v="http://alerjln1.alerj.rj.gov.br/scpro2327.nsf/18c1dd68f96be3e7832566ec0018d833/8c2bf56280feece703258c51006cbfe2?OpenDocument"/>
  </r>
  <r>
    <x v="0"/>
    <m/>
    <s v="2665/2023"/>
    <s v="AUTORIZA O ÓRGÃO AMBIENTAL COMPETENTE A FORMALIZAR, EM REGIME DE MÚTUA COOPERAÇÃO, PARCERIAS COM ENTIDADES DO TERCEIRO SETOR PARA A CONSECUÇÃO DE PREVENÇÃO E COMBATE AO INCÊNDIO FLORESTAL, E DÁ OUTRAS PROVIDÊNCIAS."/>
    <s v="CARLOS MINC"/>
    <x v="0"/>
    <x v="6"/>
    <m/>
    <m/>
    <d v="2026-04-30T00:00:00"/>
    <d v="2026-05-26T00:00:00"/>
    <m/>
    <m/>
    <m/>
    <m/>
    <m/>
    <x v="1"/>
    <m/>
    <m/>
    <m/>
    <m/>
    <s v="http://alerjln1.alerj.rj.gov.br/scpro2327.nsf/18c1dd68f96be3e7832566ec0018d833/b3e263ac03c6119103258a750051237b?OpenDocument"/>
  </r>
  <r>
    <x v="0"/>
    <m/>
    <s v="2823/2023"/>
    <s v="INSTITUI O PROGRAMA DE FOMENTO ÀS FEIRAS LITERÁRIAS E FESTIVAIS DE LIVROS DO ESTADO DO RIO DE JANEIRO"/>
    <s v="VERONICA LIMA"/>
    <x v="13"/>
    <x v="6"/>
    <m/>
    <m/>
    <d v="2026-04-30T00:00:00"/>
    <d v="2026-05-26T00:00:00"/>
    <m/>
    <m/>
    <m/>
    <m/>
    <m/>
    <x v="1"/>
    <m/>
    <m/>
    <m/>
    <m/>
    <s v="http://alerjln1.alerj.rj.gov.br/scpro2327.nsf/18c1dd68f96be3e7832566ec0018d833/54be4d212e97492303258a85006126b7?OpenDocument"/>
  </r>
  <r>
    <x v="0"/>
    <m/>
    <s v="3572/2024"/>
    <s v="DISPÕE SOBRE A PROMOÇÃO DA ACESSIBILIDADE NO ECOTURISMO PARA PESSOAS COM DEFICIÊNCIA OU MOBILIDADE REDUZIDA NO ESTADO DO RIO DE JANEIRO."/>
    <s v="CARLA MACHADO"/>
    <x v="13"/>
    <x v="6"/>
    <m/>
    <m/>
    <d v="2026-04-30T00:00:00"/>
    <d v="2026-05-26T00:00:00"/>
    <m/>
    <m/>
    <m/>
    <m/>
    <m/>
    <x v="1"/>
    <m/>
    <m/>
    <m/>
    <m/>
    <s v="http://alerjln1.alerj.rj.gov.br/scpro2327.nsf/18c1dd68f96be3e7832566ec0018d833/7ecb2831ebaf6ec303258b19005de233?OpenDocument"/>
  </r>
  <r>
    <x v="0"/>
    <m/>
    <s v="754/2023"/>
    <s v="INSTITUI, NO ÂMBITO DO ESTADO DO RIO DE JANEIRO, O DISQUE AUTISMO."/>
    <s v="LUIZ CLAUDIO RIBEIRO"/>
    <x v="3"/>
    <x v="6"/>
    <m/>
    <m/>
    <d v="2026-05-05T00:00:00"/>
    <d v="2026-05-26T00:00:00"/>
    <m/>
    <m/>
    <m/>
    <m/>
    <m/>
    <x v="1"/>
    <m/>
    <m/>
    <m/>
    <m/>
    <s v="http://alerjln1.alerj.rj.gov.br/scpro2327.nsf/18c1dd68f96be3e7832566ec0018d833/2a00b9407ca3aded032589950061cece?OpenDocument"/>
  </r>
  <r>
    <x v="0"/>
    <m/>
    <s v="4111/2024"/>
    <s v="DISPÕE SOBRE A CRIAÇÃO DO PROGRAMA DE HORTAS COMUNITÁRIAS EM INSTITUIÇÕES DE LONGA PERMANÊNCIA PARA IDOSOS (ILPIS), NO ÂMBITO DO ESTADO DO RIO DE JANEIRO."/>
    <s v="CARLA MACHADO"/>
    <x v="3"/>
    <x v="6"/>
    <m/>
    <m/>
    <d v="2026-05-05T00:00:00"/>
    <d v="2026-05-26T00:00:00"/>
    <m/>
    <m/>
    <m/>
    <m/>
    <m/>
    <x v="1"/>
    <m/>
    <m/>
    <m/>
    <m/>
    <s v="http://alerjln1.alerj.rj.gov.br/scpro2327.nsf/18c1dd68f96be3e7832566ec0018d833/0026df99465aa1eb03258b8d0053284c?OpenDocument"/>
  </r>
  <r>
    <x v="3"/>
    <m/>
    <s v="5033/2026"/>
    <s v="TEC/RJ 101.716-9/2026 ACORDAO PELA REGULARIDADE DAS CONSTAS COM QUITAÇÃO PLENA"/>
    <s v="TRIBUNAL DE CONTAS DO ESTADO - TCE"/>
    <x v="4"/>
    <x v="6"/>
    <m/>
    <m/>
    <d v="2026-05-06T00:00:00"/>
    <m/>
    <m/>
    <m/>
    <m/>
    <m/>
    <m/>
    <x v="1"/>
    <m/>
    <m/>
    <m/>
    <m/>
    <s v="CONTAS TCE 2025"/>
  </r>
  <r>
    <x v="3"/>
    <m/>
    <s v="5034/2026"/>
    <s v="TEC/RJ 102.000-5/2026 ACORDAO PELA REGULARIDADE DAS CONSTAS COM QUITAÇÃO PLENA"/>
    <s v="TRIBUNAL DE CONTAS DO ESTADO - TCE"/>
    <x v="4"/>
    <x v="6"/>
    <m/>
    <m/>
    <d v="2026-05-06T00:00:00"/>
    <m/>
    <m/>
    <m/>
    <m/>
    <m/>
    <m/>
    <x v="1"/>
    <m/>
    <m/>
    <m/>
    <m/>
    <s v="CONTAS TCE 2025"/>
  </r>
  <r>
    <x v="3"/>
    <m/>
    <s v="5036/2026"/>
    <s v="TEC/RJ 101.782-8/2026 ACORDAO PELA REGULARIDADE DAS CONSTAS COM QUITAÇÃO PLENA"/>
    <s v="TRIBUNAL DE CONTAS DO ESTADO - TCE"/>
    <x v="4"/>
    <x v="6"/>
    <m/>
    <m/>
    <d v="2026-05-06T00:00:00"/>
    <m/>
    <m/>
    <m/>
    <m/>
    <m/>
    <m/>
    <x v="1"/>
    <m/>
    <m/>
    <m/>
    <m/>
    <s v="CONTAS TCE 2025"/>
  </r>
  <r>
    <x v="0"/>
    <m/>
    <s v="EP 2417/2017"/>
    <s v="ALTERA A LEI Nº 4.808, DE 04 DE JULHO DE 2006, PARA CRIAR O PROGRAMA &quot;ADOTE UM AMIGO&quot; NA REDE DE ENSINO PÚBLICO E PRIVADO DO ESTADO DO RIO DE JANEIRO."/>
    <s v="ÁTILA NUNES"/>
    <x v="3"/>
    <x v="6"/>
    <m/>
    <m/>
    <d v="2026-05-05T00:00:00"/>
    <d v="2026-05-26T00:00:00"/>
    <m/>
    <m/>
    <m/>
    <m/>
    <m/>
    <x v="1"/>
    <m/>
    <m/>
    <m/>
    <m/>
    <s v="http://alerjln1.alerj.rj.gov.br/scpro1519.nsf/18c1dd68f96be3e7832566ec0018d833/93709439f11756f8832580dc00625a03?OpenDocument"/>
  </r>
  <r>
    <x v="0"/>
    <m/>
    <s v="EP 3655/2017"/>
    <s v="ALTERA A LEI Nº 7.108, DE 19 DE NOVEMBRO DE 2015, PARA INSTITUIR NO CALENDÁRIO OFICIAL DO RIO DE JANEIRO O DIA  DE LUTA CONTRA O HIV/AIDS, BEM COMO IMPLEMENTAR AÇÕES DE PREVENÇÃO ÀS DOENÇAS SEXUALMENTE TRANSMISSÍVEIS  - DST E AO HIV/AIDS NA CAMPANHA DENOMINADA “DEZEMBRO VERMELHO”."/>
    <s v="ÁTILA NUNES"/>
    <x v="5"/>
    <x v="6"/>
    <m/>
    <m/>
    <d v="2026-05-05T00:00:00"/>
    <d v="2026-05-26T00:00:00"/>
    <m/>
    <m/>
    <m/>
    <m/>
    <m/>
    <x v="1"/>
    <m/>
    <m/>
    <m/>
    <m/>
    <s v="http://alerjln1.alerj.rj.gov.br/scpro1519.nsf/18c1dd68f96be3e7832566ec0018d833/04bc8bb81e187805832581d8005de236?OpenDocument"/>
  </r>
  <r>
    <x v="0"/>
    <m/>
    <s v="262/2023"/>
    <s v="INSTITUI O PROGRAMA DE SAÚDE DO TRABALHADOR DO TRÂNSITO NO ESTADO DO RIO DE JANEIRO - PROSAT, NA FORMA QUE MENCIONA."/>
    <s v="ANDERSON MORAES"/>
    <x v="0"/>
    <x v="6"/>
    <m/>
    <m/>
    <d v="2026-05-05T00:00:00"/>
    <d v="2026-05-26T00:00:00"/>
    <m/>
    <m/>
    <m/>
    <m/>
    <m/>
    <x v="1"/>
    <m/>
    <m/>
    <m/>
    <m/>
    <s v="http://alerjln1.alerj.rj.gov.br/scpro2327.nsf/18c1dd68f96be3e7832566ec0018d833/bf25086a3cb97fd003258963004f1f01?OpenDocument"/>
  </r>
  <r>
    <x v="0"/>
    <m/>
    <s v="846/2023"/>
    <s v="INSTITUI O SISTEMA ESTADUAL DE PROMOÇÃO À SEGURANÇA NAS UNIDADES E ESTABELECIMENTOS DE ENSINO PÚBLICOS E PRIVADOS DO ESTADO"/>
    <s v="ELIKA TAKIMOTO, RENATO MACHADO, Yuri"/>
    <x v="11"/>
    <x v="6"/>
    <m/>
    <m/>
    <d v="2026-05-05T00:00:00"/>
    <d v="2026-05-26T00:00:00"/>
    <m/>
    <m/>
    <m/>
    <m/>
    <m/>
    <x v="1"/>
    <m/>
    <m/>
    <m/>
    <m/>
    <s v="http://alerjln1.alerj.rj.gov.br/scpro2327.nsf/18c1dd68f96be3e7832566ec0018d833/9bc1c5aef429d91e0325899d0065db97?OpenDocument"/>
  </r>
  <r>
    <x v="0"/>
    <m/>
    <s v="3706/2024"/>
    <s v="ESTABELECE NORMAS SOBRE A PATICIPAÇÃO DE SERVIÇOS DE TRANSPORTE INTERMUNICIPAL CONCEDIDOS EM CAMPANHAS EDUCATIVAS ESTADUAIS."/>
    <s v="BRAZAO"/>
    <x v="6"/>
    <x v="6"/>
    <m/>
    <m/>
    <d v="2026-05-05T00:00:00"/>
    <d v="2026-05-26T00:00:00"/>
    <m/>
    <m/>
    <m/>
    <m/>
    <m/>
    <x v="1"/>
    <m/>
    <m/>
    <m/>
    <m/>
    <s v="http://alerjln1.alerj.rj.gov.br/scpro2327.nsf/18c1dd68f96be3e7832566ec0018d833/cace9f546304c71c03258b340044f3df?OpenDocument"/>
  </r>
  <r>
    <x v="0"/>
    <m/>
    <s v="4754/2025"/>
    <s v="AUTORIZA O PODER EXECUTIVO DO ESTADO DO RIO DE JANEIRO A OFERTAR CONSULTORIA TÉCNICA, ATRAVÉS DA SECRETARIA DE ESTADO DE FAZENDA-SEFAZ/RJ E DA PROCURADORIA GERAL DO ESTADO-PGE AOS MUNICÍPIOS FLUMINENSES"/>
    <s v="LUIZ PAULO"/>
    <x v="13"/>
    <x v="6"/>
    <m/>
    <m/>
    <d v="2026-05-05T00:00:00"/>
    <d v="2026-05-26T00:00:00"/>
    <m/>
    <m/>
    <m/>
    <m/>
    <m/>
    <x v="1"/>
    <m/>
    <m/>
    <m/>
    <m/>
    <s v="http://alerjln1.alerj.rj.gov.br/scpro2327.nsf/18c1dd68f96be3e7832566ec0018d833/07541004378d38de03258c3400700a08?OpenDocument"/>
  </r>
  <r>
    <x v="0"/>
    <m/>
    <s v="1169/2019"/>
    <s v="DISPÕE SOBRE O PROGRAMA ESTADUAL DE INCENTIVO AO MONTANHISMO E DÁ OUTRAS PROVIDÊNCIAS."/>
    <s v="CARLOS MINC"/>
    <x v="6"/>
    <x v="6"/>
    <m/>
    <m/>
    <d v="2026-05-07T00:00:00"/>
    <d v="2026-05-26T00:00:00"/>
    <m/>
    <m/>
    <m/>
    <m/>
    <m/>
    <x v="1"/>
    <m/>
    <m/>
    <m/>
    <m/>
    <s v="http://alerjln1.alerj.rj.gov.br/scpro1923.nsf/18c1dd68f96be3e7832566ec0018d833/a7dfac85aa712f7f8325846500647137?OpenDocument"/>
  </r>
  <r>
    <x v="0"/>
    <m/>
    <s v="4926/2021"/>
    <s v="DISPÕE SOBRE O “PROGRAMA ESTADUAL DE VACINAÇÃO NAS ESCOLAS PÚBLICAS”, NO ÂMBITO DO ESTADO DO RIO DE JANEIRO."/>
    <s v="BRAZAO"/>
    <x v="3"/>
    <x v="6"/>
    <m/>
    <m/>
    <d v="2026-05-07T00:00:00"/>
    <d v="2026-05-26T00:00:00"/>
    <m/>
    <m/>
    <m/>
    <m/>
    <m/>
    <x v="1"/>
    <m/>
    <m/>
    <m/>
    <m/>
    <s v="http://alerjln1.alerj.rj.gov.br/scpro1923.nsf/18c1dd68f96be3e7832566ec0018d833/9f0b8f2ce5241dc40325875f00581c96?OpenDocument"/>
  </r>
  <r>
    <x v="0"/>
    <m/>
    <s v="2948/2020"/>
    <s v="INSTITUI O PROGRAMA DE SAÚDE DO ESTADO DO RIO DE JANEIRO - PROSERJ, NA FORMA QUE MENCIONA E DÁ OUTRAS PROVIDÊNCIAS"/>
    <s v="VALDECY DA SAUDE"/>
    <x v="4"/>
    <x v="6"/>
    <m/>
    <m/>
    <d v="2026-05-07T00:00:00"/>
    <m/>
    <m/>
    <m/>
    <m/>
    <m/>
    <m/>
    <x v="1"/>
    <m/>
    <m/>
    <m/>
    <m/>
    <s v="http://alerjln1.alerj.rj.gov.br/scpro1923.nsf/18c1dd68f96be3e7832566ec0018d833/f6151b52e871b046032585b5005d729c?OpenDocument"/>
  </r>
  <r>
    <x v="0"/>
    <m/>
    <s v="671/2023"/>
    <s v="DISPÕE SOBRE A OBRIGATORIEDADE DAS INSTITUIÇÕES DE ENSINO SUPERIOR FINANCIADAS PELO ESTADO DO RIO DE JANEIRO EM ENVIAR PRODUÇÕES CIENTÍFICAS CUJO OBJETO DISPONHA SOBRE TEMAS RELACIONADOS À MUNICIPALIDADE, AO MUNICÍPIO OBJETO DESTE ESTUDO, NA FORMA QUE MENCIONA."/>
    <s v="RENATO MIRANDA"/>
    <x v="8"/>
    <x v="6"/>
    <m/>
    <m/>
    <d v="2026-05-07T00:00:00"/>
    <d v="2026-05-26T00:00:00"/>
    <m/>
    <m/>
    <m/>
    <m/>
    <m/>
    <x v="1"/>
    <m/>
    <m/>
    <m/>
    <m/>
    <s v="http://alerjln1.alerj.rj.gov.br/scpro2327.nsf/18c1dd68f96be3e7832566ec0018d833/241daa70a09e5e4003258988005df341?OpenDocument"/>
  </r>
  <r>
    <x v="0"/>
    <m/>
    <s v="1870/2023"/>
    <s v="DISPÕE SOBRE A IMPLANTAÇÃO DO PROGRAMA DE PROTOCOLO DE PRESERVAÇÃO E DE CUIDADO ECOLÓGICO DO RIO GUANDU, ATRAVÉS DA COOPERAÇÃO TÉCNICA DOS ÓRGÃOS DE PROTEÇÃO AMBIENTAL E OS MUNICÍPIOS ABRANGIDOS NO ÂMBITO DO ESTADO DO RIO DE JANEIRO, NA FORMA EM QUE ESPECIFICA."/>
    <s v="ROSENVERG REIS"/>
    <x v="0"/>
    <x v="6"/>
    <m/>
    <m/>
    <d v="2026-05-07T00:00:00"/>
    <d v="2026-05-26T00:00:00"/>
    <m/>
    <m/>
    <m/>
    <m/>
    <m/>
    <x v="1"/>
    <m/>
    <m/>
    <m/>
    <m/>
    <s v="http://alerjln1.alerj.rj.gov.br/scpro2327.nsf/18c1dd68f96be3e7832566ec0018d833/f6e3f3753a5cc9b003258a1a00575adb?OpenDocument"/>
  </r>
  <r>
    <x v="0"/>
    <m/>
    <s v="6375/2025"/>
    <s v="ALTERA A LEI Nº 10.900, DE 21 DE JULHO DE 2025, NA FORMA QUE MENCIONA."/>
    <s v="ALAN LOPES,FILIPPE POUBEL"/>
    <x v="6"/>
    <x v="6"/>
    <m/>
    <m/>
    <d v="2026-05-07T00:00:00"/>
    <d v="2026-05-26T00:00:00"/>
    <m/>
    <m/>
    <m/>
    <m/>
    <m/>
    <x v="1"/>
    <m/>
    <m/>
    <m/>
    <m/>
    <s v="http://alerjln1.alerj.rj.gov.br/scpro2327.nsf/18c1dd68f96be3e7832566ec0018d833/7737cf3e88b314bc03258d0d007084b5?OpenDocument"/>
  </r>
  <r>
    <x v="0"/>
    <m/>
    <s v="5326/2025"/>
    <s v="INSTITUI NO ÂMBITO DO ESTADO DO RIO DE JANEIRO, O “PROGRAMA CIDADE AMIGA DO IDOSO” E ADOTA OUTRAS PROVIDÊNCIAS."/>
    <s v="VALDECY DA SAUDE"/>
    <x v="3"/>
    <x v="6"/>
    <m/>
    <m/>
    <d v="2026-05-07T00:00:00"/>
    <d v="2026-05-26T00:00:00"/>
    <m/>
    <m/>
    <m/>
    <m/>
    <m/>
    <x v="1"/>
    <m/>
    <m/>
    <m/>
    <m/>
    <s v="http://alerjln1.alerj.rj.gov.br/scpro2327.nsf/18c1dd68f96be3e7832566ec0018d833/cd1c1d07c5cb847903258ad900490c91?OpenDocument"/>
  </r>
  <r>
    <x v="0"/>
    <m/>
    <s v="4910/2025"/>
    <s v="DISPÕE NO ÂMBITO DO ESTADO DO RIO DE JANEIRO SOBRE A UTILIZAÇÃO DA PASSARELA PROFESSOR DARCY RIBEIRO  - SAMBÓDROMO  E DÁ OUTRAS PROVIDÊNCIAS"/>
    <s v="DIONISIO LINS"/>
    <x v="6"/>
    <x v="6"/>
    <m/>
    <m/>
    <d v="2026-05-07T00:00:00"/>
    <d v="2026-05-26T00:00:00"/>
    <m/>
    <m/>
    <m/>
    <m/>
    <m/>
    <x v="1"/>
    <m/>
    <m/>
    <m/>
    <m/>
    <s v="http://alerjln1.alerj.rj.gov.br/scpro2327.nsf/18c1dd68f96be3e7832566ec0018d833/cc1858b0ce09c98003258c49005e8d4d?OpenDocument"/>
  </r>
  <r>
    <x v="0"/>
    <m/>
    <s v="561/2019"/>
    <s v="DISPÕE SOBRE A TRANSPARÊNCIA DOS REGISTROS DA ÁREA DA SEGURANÇA PÚBLICA E DÁ OUTRAS PROVIDÊNCIAS."/>
    <s v="MÁRCIO CANELLA"/>
    <x v="6"/>
    <x v="6"/>
    <m/>
    <m/>
    <d v="2026-05-12T00:00:00"/>
    <d v="2026-05-26T00:00:00"/>
    <m/>
    <m/>
    <m/>
    <m/>
    <m/>
    <x v="1"/>
    <s v="JÁ ESTAVA NO COZZOLINO QUANDO EU CADASTREI"/>
    <m/>
    <m/>
    <m/>
    <s v="http://alerjln1.alerj.rj.gov.br/scpro1923.nsf/18c1dd68f96be3e7832566ec0018d833/f2c22c14b58ac38d832583fc00509047?OpenDocument"/>
  </r>
  <r>
    <x v="0"/>
    <m/>
    <s v="4803/2021"/>
    <s v="DISPÕE SOBRE A IMPLANTAÇÃO DE ZOOPASSAGENS NO ESTADO DO RIO DE JANEIRO."/>
    <s v="GUSTAVO SCHMIDT"/>
    <x v="0"/>
    <x v="6"/>
    <m/>
    <m/>
    <d v="2026-05-12T00:00:00"/>
    <d v="2026-05-26T00:00:00"/>
    <m/>
    <m/>
    <m/>
    <m/>
    <m/>
    <x v="1"/>
    <s v="JÁ ESTAVA NO COZZOLINO QUANDO EU CADASTREI"/>
    <m/>
    <m/>
    <m/>
    <s v="http://alerjln1.alerj.rj.gov.br/scpro1923.nsf/18c1dd68f96be3e7832566ec0018d833/05e394a86cb99ab70325874400612d40?OpenDocument"/>
  </r>
  <r>
    <x v="0"/>
    <m/>
    <s v="2630/2020"/>
    <s v="AUTORIZA O PODER EXECUTIVO A CONVOCAR TODOS OS APROVADOS E EM CADASTRO DE RESERVA PARA PROVIMENTO DE CARGO DE OFICIAL DE CARTÓRIO POLICIAL DE 6ª CLASSE NO ÂMBITO DA POLÍCIA CIVIL DO ESTADO DO RIO DE JANEIRO REALIZADO NO ANO DE 2013, E DÁ OUTRAS PROVIDÊNCIAS"/>
    <s v="RODRIGO AMORIM,BRUNO DAUAIRE"/>
    <x v="13"/>
    <x v="6"/>
    <m/>
    <m/>
    <d v="2026-05-12T00:00:00"/>
    <d v="2026-05-26T00:00:00"/>
    <m/>
    <m/>
    <m/>
    <m/>
    <m/>
    <x v="1"/>
    <m/>
    <m/>
    <m/>
    <m/>
    <s v="http://alerjln1.alerj.rj.gov.br/scpro1923.nsf/18c1dd68f96be3e7832566ec0018d833/dd8650c8ce4d42fd03258568005ef548?OpenDocument"/>
  </r>
  <r>
    <x v="0"/>
    <m/>
    <s v="2529/2023"/>
    <s v="ALTERA A LEI 10.159, DE 26 DE OUTUBRO DE 2023, QUE INSTITUI A VACINAÇÃO DÉCUPLA - V10 - OBRIGATÓRIA NOS CÃES  NO TERRITÓRIO DO ESTADO DO RIO DE JANEIRO E DÁ OUTRAS PROVIDÊNCIAS"/>
    <s v="GIOVANI RATINHO,GUILHERME DELAROLI"/>
    <x v="4"/>
    <x v="6"/>
    <m/>
    <m/>
    <d v="2026-05-19T00:00:00"/>
    <m/>
    <m/>
    <m/>
    <m/>
    <m/>
    <m/>
    <x v="1"/>
    <m/>
    <m/>
    <m/>
    <m/>
    <s v="http://alerjln1.alerj.rj.gov.br/scpro2327.nsf/18c1dd68f96be3e7832566ec0018d833/1f2e32518bdbf4b003258a5a0070d3b7?OpenDocument"/>
  </r>
  <r>
    <x v="0"/>
    <m/>
    <s v="6434/2025"/>
    <s v="INSTITUI AS NORMAS DE COMERCIALIZAÇÃO DE RAÇÕES A GRANEL DESTINADAS À ALIMENTAÇÃO ANIMAL, REGULAMENTANDO CRITÉRIOS DE PESAGEM, VALIDADE, EXPOSIÇÃO E MANISEIO DOS ESTABELECIMENTOS COMERCIAIS DO ESTADO DO RIO DE JANEIRO."/>
    <s v="BRUNO ALVES BOARETTO"/>
    <x v="4"/>
    <x v="6"/>
    <m/>
    <m/>
    <d v="2026-05-19T00:00:00"/>
    <m/>
    <m/>
    <m/>
    <m/>
    <m/>
    <m/>
    <x v="1"/>
    <m/>
    <m/>
    <m/>
    <m/>
    <s v="http://alerjln1.alerj.rj.gov.br/scpro2327.nsf/18c1dd68f96be3e7832566ec0018d833/502033e49fc2219103258d16004cfefe?OpenDocument"/>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4"/>
    <m/>
    <m/>
    <m/>
    <m/>
    <x v="4"/>
    <x v="6"/>
    <m/>
    <m/>
    <m/>
    <m/>
    <m/>
    <m/>
    <m/>
    <m/>
    <m/>
    <x v="4"/>
    <m/>
    <m/>
    <m/>
    <m/>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Tabela dinâmica1" cacheId="15" dataOnRows="0" dataCaption="Valores"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0" rowHeaderCaption="RELATORES" fieldListSortAscending="0" mdxSubqueries="0" applyNumberFormats="0" applyBorderFormats="0" applyFontFormats="0" applyPatternFormats="0" applyAlignmentFormats="0" applyWidthHeightFormats="1" r:id="rId1">
  <location ref="A5:B17" firstHeaderRow="1" firstDataRow="1" firstDataCol="1" rowPageCount="3" colPageCount="1"/>
  <pivotFields count="22">
    <pivotField axis="axisPage" showDropDowns="1" compact="1" outline="1" subtotalTop="1" dragToRow="1" dragToCol="1" multipleItemSelectionAllowed="1" dragToPage="1" dragToData="1" dragOff="1" showAll="0" topAutoShow="1" itemPageCount="10" sortType="manual" defaultSubtotal="1">
      <items count="6">
        <item t="data" sd="1" x="0"/>
        <item t="data" sd="1" x="1"/>
        <item t="data" sd="1" x="2"/>
        <item t="data" sd="1" x="4"/>
        <item t="data" sd="1" x="3"/>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Row" dataField="1" showDropDowns="1" compact="1" outline="1" subtotalTop="1" dragToRow="1" dragToCol="1" dragToPage="1" dragToData="1" dragOff="1" showAll="0" topAutoShow="1" itemPageCount="10" sortType="manual" defaultSubtotal="1" countASubtotal="1">
      <items count="16">
        <item t="data" sd="1" x="8"/>
        <item t="data" sd="1" x="0"/>
        <item t="data" sd="1" x="9"/>
        <item t="data" sd="1" x="6"/>
        <item t="data" sd="1" x="7"/>
        <item t="data" sd="1" x="2"/>
        <item t="data" sd="1" x="1"/>
        <item t="data" sd="1" x="3"/>
        <item t="data" sd="1" x="4"/>
        <item t="data" sd="1" x="10"/>
        <item t="data" sd="1" x="14"/>
        <item t="data" sd="1" x="5"/>
        <item t="data" sd="1" x="11"/>
        <item t="data" sd="1" x="13"/>
        <item t="data" sd="1" x="12"/>
        <item t="countA" sd="1"/>
      </items>
    </pivotField>
    <pivotField axis="axisPage" showDropDowns="1" compact="1" outline="1" subtotalTop="1" dragToRow="1" dragToCol="1" dragToPage="1" dragToData="1" dragOff="1" showAll="0" topAutoShow="1" itemPageCount="10" sortType="manual" defaultSubtotal="1">
      <items count="53">
        <item t="data" sd="1" x="4"/>
        <item t="data" sd="1" x="3"/>
        <item t="data" sd="1" x="16"/>
        <item t="data" sd="1" x="9"/>
        <item t="data" sd="1" x="7"/>
        <item t="data" sd="1" x="5"/>
        <item t="data" sd="1" x="15"/>
        <item t="data" sd="1" x="11"/>
        <item t="data" sd="1" x="13"/>
        <item t="data" sd="1" x="2"/>
        <item t="data" sd="1" x="12"/>
        <item t="data" sd="1" x="10"/>
        <item t="data" sd="1" x="1"/>
        <item t="data" sd="1" x="14"/>
        <item t="data" sd="1" x="8"/>
        <item t="data" sd="1" x="0"/>
        <item t="data" sd="1" x="6"/>
        <item t="data" sd="1" x="17"/>
        <item t="data" sd="1" x="18"/>
        <item t="data" sd="1" x="19"/>
        <item t="data" sd="1" x="20"/>
        <item t="data" sd="1" x="21"/>
        <item t="data" sd="1" x="22"/>
        <item t="data" sd="1" x="23"/>
        <item t="data" sd="1" x="24"/>
        <item t="data" sd="1" x="25"/>
        <item t="data" sd="1" x="26"/>
        <item t="data" sd="1" x="27"/>
        <item t="data" sd="1" x="28"/>
        <item t="data" sd="1" x="29"/>
        <item t="data" sd="1" x="30"/>
        <item t="data" sd="1" x="31"/>
        <item t="data" sd="1" x="32"/>
        <item t="data" sd="1" x="33"/>
        <item t="data" sd="1" x="34"/>
        <item t="data" sd="1" x="35"/>
        <item t="data" sd="1" x="36"/>
        <item t="data" sd="1" x="37"/>
        <item t="data" sd="1" x="38"/>
        <item t="data" sd="1" x="39"/>
        <item t="data" sd="1" x="40"/>
        <item t="data" sd="1" x="41"/>
        <item t="data" sd="1" x="42"/>
        <item t="data" sd="1" x="43"/>
        <item t="data" sd="1" x="44"/>
        <item t="data" sd="1" x="45"/>
        <item t="data" sd="1" x="46"/>
        <item t="data" sd="1" x="47"/>
        <item t="data" sd="1" x="48"/>
        <item t="data" sd="1" x="49"/>
        <item t="data" sd="1" x="50"/>
        <item t="data" sd="1" x="51"/>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Page" showDropDowns="1" compact="1" outline="1" subtotalTop="1" dragToRow="1" dragToCol="1" multipleItemSelectionAllowed="1" dragToPage="1" dragToData="1" dragOff="1" showAll="0" topAutoShow="1" itemPageCount="10" sortType="manual" defaultSubtotal="1">
      <items count="6">
        <item t="data" h="1" sd="1" x="0"/>
        <item t="data" sd="1" x="2"/>
        <item t="data" sd="1" x="1"/>
        <item t="data" h="1" sd="1" x="3"/>
        <item t="data" h="1" sd="1" x="4"/>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12">
    <i t="data" r="0" i="0">
      <x v="0"/>
    </i>
    <i t="data" r="0" i="0">
      <x v="1"/>
    </i>
    <i t="data" r="0" i="0">
      <x v="3"/>
    </i>
    <i t="data" r="0" i="0">
      <x v="5"/>
    </i>
    <i t="data" r="0" i="0">
      <x v="7"/>
    </i>
    <i t="data" r="0" i="0">
      <x v="8"/>
    </i>
    <i t="data" r="0" i="0">
      <x v="10"/>
    </i>
    <i t="data" r="0" i="0">
      <x v="11"/>
    </i>
    <i t="data" r="0" i="0">
      <x v="12"/>
    </i>
    <i t="data" r="0" i="0">
      <x v="13"/>
    </i>
    <i t="data" r="0" i="0">
      <x v="14"/>
    </i>
    <i t="grand" r="0" i="0">
      <x v="0"/>
    </i>
  </rowItems>
  <colItems count="1">
    <i t="data" r="0" i="0"/>
  </colItems>
  <pageFields count="3">
    <pageField fld="0" hier="-1"/>
    <pageField fld="6" item="16" hier="-1"/>
    <pageField fld="16" hier="-1"/>
  </pageFields>
  <dataFields count="1">
    <dataField name="RELATORIAS" fld="5" subtotal="count" showDataAs="normal" baseField="0" baseItem="0"/>
  </dataFields>
  <formats count="1">
    <format action="formatting" dxfId="6">
      <pivotArea type="normal" dataOnly="0" labelOnly="1" outline="0" axis="axisValues" fieldPosition="0"/>
    </format>
  </formats>
  <pivotTableStyleInfo name="PivotStyleLight16" showRowHeaders="1" showColHeaders="1" showRowStripes="0" showColStripes="0" showLastColumn="1"/>
</pivotTableDefinition>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pivotTable" Target="/xl/pivotTables/pivotTable1.xml" Id="rId1"/></Relationships>
</file>

<file path=xl/worksheets/_rels/sheet2.xml.rels><Relationships xmlns="http://schemas.openxmlformats.org/package/2006/relationships"><Relationship Type="http://schemas.openxmlformats.org/officeDocument/2006/relationships/hyperlink" Target="http://alerjln1.alerj.rj.gov.br/scpro1923.nsf/18c1dd68f96be3e7832566ec0018d833/c3ab1fe3efa96fc5032586f500419f82?OpenDocument" TargetMode="External" Id="rId1"/><Relationship Type="http://schemas.openxmlformats.org/officeDocument/2006/relationships/hyperlink" Target="http://alerjln1.alerj.rj.gov.br/scpro1923.nsf/18c1dd68f96be3e7832566ec0018d833/36b7eb5ee065eaa18325839a004f8b1f?OpenDocument" TargetMode="External" Id="rId2"/><Relationship Type="http://schemas.openxmlformats.org/officeDocument/2006/relationships/hyperlink" Target="http://alerjln1.alerj.rj.gov.br/scpro2327.nsf/18c1dd68f96be3e7832566ec0018d833/37abbaa7aa17260b0325894a00534738?OpenDocument" TargetMode="External" Id="rId3"/><Relationship Type="http://schemas.openxmlformats.org/officeDocument/2006/relationships/hyperlink" Target="http://alerjln1.alerj.rj.gov.br/scpro1923.nsf/18c1dd68f96be3e7832566ec0018d833/e315fe8a50a3029a032588160070c2c2?OpenDocument" TargetMode="External" Id="rId4"/><Relationship Type="http://schemas.openxmlformats.org/officeDocument/2006/relationships/hyperlink" Target="http://alerjln1.alerj.rj.gov.br/scpro2327.nsf/18c1dd68f96be3e7832566ec0018d833/a27d98777117360b03258b2500583259?OpenDocument" TargetMode="External" Id="rId5"/><Relationship Type="http://schemas.openxmlformats.org/officeDocument/2006/relationships/hyperlink" Target="http://alerjln1.alerj.rj.gov.br/scpro1923.nsf/18c1dd68f96be3e7832566ec0018d833/db4e5f81f18b0931032587e3005d6d3c?OpenDocument" TargetMode="External" Id="rId6"/><Relationship Type="http://schemas.openxmlformats.org/officeDocument/2006/relationships/hyperlink" Target="http://alerjln1.alerj.rj.gov.br/scpro1519.nsf/18c1dd68f96be3e7832566ec0018d833/1332fd37f5a7b04683257e8a005cf64d?OpenDocument" TargetMode="External" Id="rId7"/><Relationship Type="http://schemas.openxmlformats.org/officeDocument/2006/relationships/hyperlink" Target="http://alerjln1.alerj.rj.gov.br/scpro2327.nsf/18c1dd68f96be3e7832566ec0018d833/b082d298c12ca59f03258980005507cd?OpenDocument" TargetMode="External" Id="rId8"/><Relationship Type="http://schemas.openxmlformats.org/officeDocument/2006/relationships/hyperlink" Target="http://alerjln1.alerj.rj.gov.br/scpro1519.nsf/18c1dd68f96be3e7832566ec0018d833/1640f1edb9e68e0483258312005c83a3?OpenDocument" TargetMode="External" Id="rId9"/><Relationship Type="http://schemas.openxmlformats.org/officeDocument/2006/relationships/hyperlink" Target="http://alerjln1.alerj.rj.gov.br/scpro2327.nsf/18c1dd68f96be3e7832566ec0018d833/67224724a3d6c4c703258aca005a26ee?OpenDocument" TargetMode="External" Id="rId10"/><Relationship Type="http://schemas.openxmlformats.org/officeDocument/2006/relationships/hyperlink" Target="http://alerjln1.alerj.rj.gov.br/scpro2327.nsf/18c1dd68f96be3e7832566ec0018d833/03ada5440a43464b0325894a0059da00?OpenDocument" TargetMode="External" Id="rId11"/><Relationship Type="http://schemas.openxmlformats.org/officeDocument/2006/relationships/hyperlink" Target="http://alerjln1.alerj.rj.gov.br/scpro2327.nsf/18c1dd68f96be3e7832566ec0018d833/57da9eb0ffb3725903258a14005e456e?OpenDocument" TargetMode="External" Id="rId12"/><Relationship Type="http://schemas.openxmlformats.org/officeDocument/2006/relationships/hyperlink" Target="http://alerjln1.alerj.rj.gov.br/scpro2327.nsf/18c1dd68f96be3e7832566ec0018d833/ef6837cfaea9100803258a0c005a0702?OpenDocument" TargetMode="External" Id="rId13"/><Relationship Type="http://schemas.openxmlformats.org/officeDocument/2006/relationships/hyperlink" Target="http://alerjln1.alerj.rj.gov.br/scpro1923.nsf/18c1dd68f96be3e7832566ec0018d833/72b456d3337188a5832584770068ae55?OpenDocument" TargetMode="External" Id="rId14"/><Relationship Type="http://schemas.openxmlformats.org/officeDocument/2006/relationships/hyperlink" Target="http://alerjln1.alerj.rj.gov.br/scpro1923.nsf/18c1dd68f96be3e7832566ec0018d833/390e51d4b94a10898325846a005adc8d?OpenDocument" TargetMode="External" Id="rId15"/><Relationship Type="http://schemas.openxmlformats.org/officeDocument/2006/relationships/hyperlink" Target="http://alerjln1.alerj.rj.gov.br/scpro2327.nsf/18c1dd68f96be3e7832566ec0018d833/2d9a3e0fa759a8250325896400627f61?OpenDocument" TargetMode="External" Id="rId16"/><Relationship Type="http://schemas.openxmlformats.org/officeDocument/2006/relationships/hyperlink" Target="http://alerjln1.alerj.rj.gov.br/scpro2327.nsf/18c1dd68f96be3e7832566ec0018d833/5016d688b032d58f03258a38005dd673?OpenDocument" TargetMode="External" Id="rId17"/><Relationship Type="http://schemas.openxmlformats.org/officeDocument/2006/relationships/hyperlink" Target="http://alerjln1.alerj.rj.gov.br/scpro2327.nsf/18c1dd68f96be3e7832566ec0018d833/14af067763c10685032589a40063cd23?OpenDocument" TargetMode="External" Id="rId18"/><Relationship Type="http://schemas.openxmlformats.org/officeDocument/2006/relationships/hyperlink" Target="http://alerjln1.alerj.rj.gov.br/scpro1923.nsf/18c1dd68f96be3e7832566ec0018d833/7cb31320ef313e7a832584700046e3df?OpenDocument" TargetMode="External" Id="rId19"/><Relationship Type="http://schemas.openxmlformats.org/officeDocument/2006/relationships/hyperlink" Target="http://alerjln1.alerj.rj.gov.br/scpro2327.nsf/18c1dd68f96be3e7832566ec0018d833/cf64ca635e01213403258973005ef2aa?OpenDocument" TargetMode="External" Id="rId20"/><Relationship Type="http://schemas.openxmlformats.org/officeDocument/2006/relationships/hyperlink" Target="http://alerjln1.alerj.rj.gov.br/scpro2327.nsf/18c1dd68f96be3e7832566ec0018d833/ea0fb1606de09d580325894f00508dd0?OpenDocument" TargetMode="External" Id="rId21"/><Relationship Type="http://schemas.openxmlformats.org/officeDocument/2006/relationships/hyperlink" Target="http://alerjln1.alerj.rj.gov.br/scpro1923.nsf/18c1dd68f96be3e7832566ec0018d833/c3ab1fe3efa96fc5032586f500419f82?OpenDocument" TargetMode="External" Id="rId22"/><Relationship Type="http://schemas.openxmlformats.org/officeDocument/2006/relationships/hyperlink" Target="http://alerjln1.alerj.rj.gov.br/scpro1923.nsf/18c1dd68f96be3e7832566ec0018d833/4a216affaa98285a0325863800629e16?OpenDocument" TargetMode="External" Id="rId23"/><Relationship Type="http://schemas.openxmlformats.org/officeDocument/2006/relationships/hyperlink" Target="http://alerjln1.alerj.rj.gov.br/scpro1923.nsf/18c1dd68f96be3e7832566ec0018d833/672af5af84431a39032587de00654570?OpenDocument" TargetMode="External" Id="rId24"/><Relationship Type="http://schemas.openxmlformats.org/officeDocument/2006/relationships/hyperlink" Target="http://alerjln1.alerj.rj.gov.br/scpro1923.nsf/18c1dd68f96be3e7832566ec0018d833/826b97c45f89a02c032587e3005e2809?OpenDocument" TargetMode="External" Id="rId25"/><Relationship Type="http://schemas.openxmlformats.org/officeDocument/2006/relationships/hyperlink" Target="http://alerjln1.alerj.rj.gov.br/scpro2327.nsf/18c1dd68f96be3e7832566ec0018d833/c589612d90b8421f03258a2100586983?OpenDocument" TargetMode="External" Id="rId26"/><Relationship Type="http://schemas.openxmlformats.org/officeDocument/2006/relationships/hyperlink" Target="http://alerjln1.alerj.rj.gov.br/scpro1923.nsf/18c1dd68f96be3e7832566ec0018d833/530e3234f10255fc0325887100676e30?OpenDocument" TargetMode="External" Id="rId27"/><Relationship Type="http://schemas.openxmlformats.org/officeDocument/2006/relationships/hyperlink" Target="http://alerjln1.alerj.rj.gov.br/scpro2327.nsf/18c1dd68f96be3e7832566ec0018d833/0f683e39c32f7b2003258988005cfbb1?OpenDocument" TargetMode="External" Id="rId28"/><Relationship Type="http://schemas.openxmlformats.org/officeDocument/2006/relationships/hyperlink" Target="http://alerjln1.alerj.rj.gov.br/scpro1923.nsf/18c1dd68f96be3e7832566ec0018d833/19801f35475f2ea9032587e30062f397?OpenDocument" TargetMode="External" Id="rId29"/><Relationship Type="http://schemas.openxmlformats.org/officeDocument/2006/relationships/hyperlink" Target="http://alerjln1.alerj.rj.gov.br/scpro2327.nsf/18c1dd68f96be3e7832566ec0018d833/8a088bc4e89c91ed03258be0007017a3?OpenDocument" TargetMode="External" Id="rId30"/><Relationship Type="http://schemas.openxmlformats.org/officeDocument/2006/relationships/hyperlink" Target="http://alerjln1.alerj.rj.gov.br/scpro2327.nsf/18c1dd68f96be3e7832566ec0018d833/4ee2d17ae802da5603258b3b0058f2e6?OpenDocument" TargetMode="External" Id="rId31"/><Relationship Type="http://schemas.openxmlformats.org/officeDocument/2006/relationships/hyperlink" Target="http://alerjln1.alerj.rj.gov.br/scpro1923.nsf/18c1dd68f96be3e7832566ec0018d833/77054c787a198c8f0325859f00641838?OpenDocument" TargetMode="External" Id="rId32"/><Relationship Type="http://schemas.openxmlformats.org/officeDocument/2006/relationships/hyperlink" Target="http://alerjln1.alerj.rj.gov.br/scpro2327.nsf/34c4e2da9b17c0d3832566ec0018d830/c85b72a893a2a4af03258a37004d17b9?OpenDocument" TargetMode="External" Id="rId33"/><Relationship Type="http://schemas.openxmlformats.org/officeDocument/2006/relationships/hyperlink" Target="http://alerjln1.alerj.rj.gov.br/scpro2327.nsf/18c1dd68f96be3e7832566ec0018d833/ae98a6b0b493100803258ae5006ace70?OpenDocument" TargetMode="External" Id="rId34"/><Relationship Type="http://schemas.openxmlformats.org/officeDocument/2006/relationships/hyperlink" Target="http://alerjln1.alerj.rj.gov.br/scpro2327.nsf/18c1dd68f96be3e7832566ec0018d833/f9d4e30cdd0d639803258a08007a72e8?OpenDocument" TargetMode="External" Id="rId35"/><Relationship Type="http://schemas.openxmlformats.org/officeDocument/2006/relationships/hyperlink" Target="http://alerjln1.alerj.rj.gov.br/scpro1519.nsf/18c1dd68f96be3e7832566ec0018d833/c476e6ae08b94c6d832582660056ae2f?OpenDocument" TargetMode="External" Id="rId36"/><Relationship Type="http://schemas.openxmlformats.org/officeDocument/2006/relationships/hyperlink" Target="http://alerjln1.alerj.rj.gov.br/scpro2327.nsf/18c1dd68f96be3e7832566ec0018d833/63ed605fe1a93f5703258b7200511a54?OpenDocument" TargetMode="External" Id="rId37"/><Relationship Type="http://schemas.openxmlformats.org/officeDocument/2006/relationships/hyperlink" Target="http://alerjln1.alerj.rj.gov.br/scpro2327.nsf/18c1dd68f96be3e7832566ec0018d833/0a2a9d9661b6c9c10325897100682b9e?OpenDocument" TargetMode="External" Id="rId38"/><Relationship Type="http://schemas.openxmlformats.org/officeDocument/2006/relationships/hyperlink" Target="http://alerjln1.alerj.rj.gov.br/scpro2327.nsf/18c1dd68f96be3e7832566ec0018d833/cb214d17cf3dd4b0032589560079eff2?OpenDocument" TargetMode="External" Id="rId39"/><Relationship Type="http://schemas.openxmlformats.org/officeDocument/2006/relationships/hyperlink" Target="http://alerjln1.alerj.rj.gov.br/scpro2327.nsf/18c1dd68f96be3e7832566ec0018d833/0722777cb7a9a3e5032589bf0064572c?OpenDocument" TargetMode="External" Id="rId40"/><Relationship Type="http://schemas.openxmlformats.org/officeDocument/2006/relationships/hyperlink" Target="http://alerjln1.alerj.rj.gov.br/scpro2327.nsf/18c1dd68f96be3e7832566ec0018d833/076bd18d08c41b1b03258b940063c37b?OpenDocument" TargetMode="External" Id="rId41"/><Relationship Type="http://schemas.openxmlformats.org/officeDocument/2006/relationships/hyperlink" Target="http://alerjln1.alerj.rj.gov.br/scpro1923.nsf/18c1dd68f96be3e7832566ec0018d833/43e705d42179521483258425005e50e9?OpenDocument" TargetMode="External" Id="rId42"/><Relationship Type="http://schemas.openxmlformats.org/officeDocument/2006/relationships/hyperlink" Target="http://alerjln1.alerj.rj.gov.br/scpro1519.nsf/18c1dd68f96be3e7832566ec0018d833/02b4efe7be2e01e983257f6f006aee6b?OpenDocument" TargetMode="External" Id="rId43"/><Relationship Type="http://schemas.openxmlformats.org/officeDocument/2006/relationships/hyperlink" Target="http://alerjln1.alerj.rj.gov.br/scpro1923.nsf/18c1dd68f96be3e7832566ec0018d833/c03e703429b4a87003258600006157c4?OpenDocument" TargetMode="External" Id="rId44"/><Relationship Type="http://schemas.openxmlformats.org/officeDocument/2006/relationships/hyperlink" Target="http://alerjln1.alerj.rj.gov.br/scpro1923.nsf/18c1dd68f96be3e7832566ec0018d833/4338132885c9494f032586e7004b511c?OpenDocument" TargetMode="External" Id="rId45"/><Relationship Type="http://schemas.openxmlformats.org/officeDocument/2006/relationships/hyperlink" Target="http://alerjln1.alerj.rj.gov.br/scpro2327.nsf/18c1dd68f96be3e7832566ec0018d833/e0579e4272f7582703258980004d1142?OpenDocument" TargetMode="External" Id="rId46"/><Relationship Type="http://schemas.openxmlformats.org/officeDocument/2006/relationships/hyperlink" Target="http://alerjln1.alerj.rj.gov.br/scpro2327.nsf/18c1dd68f96be3e7832566ec0018d833/ac723f11cd2490ba0325895100543330?OpenDocument" TargetMode="External" Id="rId47"/><Relationship Type="http://schemas.openxmlformats.org/officeDocument/2006/relationships/hyperlink" Target="http://alerjln1.alerj.rj.gov.br/scpro2327.nsf/18c1dd68f96be3e7832566ec0018d833/fe5ec33176e07572032589e3004eea24?OpenDocument" TargetMode="External" Id="rId48"/><Relationship Type="http://schemas.openxmlformats.org/officeDocument/2006/relationships/hyperlink" Target="http://alerjln1.alerj.rj.gov.br/scpro1923.nsf/18c1dd68f96be3e7832566ec0018d833/4db337b98dc253fa03258704005b335d?OpenDocument" TargetMode="External" Id="rId49"/><Relationship Type="http://schemas.openxmlformats.org/officeDocument/2006/relationships/hyperlink" Target="http://alerjln1.alerj.rj.gov.br/scpro2327.nsf/18c1dd68f96be3e7832566ec0018d833/b3321d50849657e203258a1300618881?OpenDocument" TargetMode="External" Id="rId50"/><Relationship Type="http://schemas.openxmlformats.org/officeDocument/2006/relationships/hyperlink" Target="http://alerjln1.alerj.rj.gov.br/scpro2327.nsf/18c1dd68f96be3e7832566ec0018d833/2df4cee1d576b4d403258be3005ef65c?OpenDocument" TargetMode="External" Id="rId51"/><Relationship Type="http://schemas.openxmlformats.org/officeDocument/2006/relationships/hyperlink" Target="http://alerjln1.alerj.rj.gov.br/scpro2327.nsf/18c1dd68f96be3e7832566ec0018d833/818e202fe0453d6b03258ae0005688de?OpenDocument" TargetMode="External" Id="rId52"/><Relationship Type="http://schemas.openxmlformats.org/officeDocument/2006/relationships/hyperlink" Target="http://alerjln1.alerj.rj.gov.br/scpro2327.nsf/18c1dd68f96be3e7832566ec0018d833/f22cb5cfa176bb5403258abc006fe7be?OpenDocument" TargetMode="External" Id="rId53"/><Relationship Type="http://schemas.openxmlformats.org/officeDocument/2006/relationships/hyperlink" Target="http://alerjln1.alerj.rj.gov.br/scpro2327.nsf/18c1dd68f96be3e7832566ec0018d833/d2005e2e97125fdf032589e3006643d6?OpenDocument" TargetMode="External" Id="rId54"/><Relationship Type="http://schemas.openxmlformats.org/officeDocument/2006/relationships/hyperlink" Target="http://alerjln1.alerj.rj.gov.br/scpro1923.nsf/18c1dd68f96be3e7832566ec0018d833/b01c4f23ca849f010325883100629fb9?OpenDocument" TargetMode="External" Id="rId55"/><Relationship Type="http://schemas.openxmlformats.org/officeDocument/2006/relationships/hyperlink" Target="http://alerjln1.alerj.rj.gov.br/scpro1923.nsf/18c1dd68f96be3e7832566ec0018d833/b01c4f23ca849f010325883100629fb9?OpenDocument" TargetMode="External" Id="rId56"/><Relationship Type="http://schemas.openxmlformats.org/officeDocument/2006/relationships/hyperlink" Target="http://alerjln1.alerj.rj.gov.br/scpro1923.nsf/18c1dd68f96be3e7832566ec0018d833/e32d62f9cb4e62b703258685005e366d?OpenDocument" TargetMode="External" Id="rId57"/><Relationship Type="http://schemas.openxmlformats.org/officeDocument/2006/relationships/hyperlink" Target="http://alerjln1.alerj.rj.gov.br/scpro1923.nsf/18c1dd68f96be3e7832566ec0018d833/e32d62f9cb4e62b703258685005e366d?OpenDocument" TargetMode="External" Id="rId58"/><Relationship Type="http://schemas.openxmlformats.org/officeDocument/2006/relationships/hyperlink" Target="http://alerjln1.alerj.rj.gov.br/scpro2327.nsf/18c1dd68f96be3e7832566ec0018d833/3afcfd9a8f0a502003258965005456c8?OpenDocument" TargetMode="External" Id="rId59"/><Relationship Type="http://schemas.openxmlformats.org/officeDocument/2006/relationships/hyperlink" Target="http://alerjln1.alerj.rj.gov.br/scpro2327.nsf/18c1dd68f96be3e7832566ec0018d833/1ea27ec312b8e68b03258b71005bb716?OpenDocument" TargetMode="External" Id="rId60"/><Relationship Type="http://schemas.openxmlformats.org/officeDocument/2006/relationships/hyperlink" Target="http://alerjln1.alerj.rj.gov.br/scpro1923.nsf/18c1dd68f96be3e7832566ec0018d833/c82e4540195568440325880c00494277?OpenDocument" TargetMode="External" Id="rId61"/><Relationship Type="http://schemas.openxmlformats.org/officeDocument/2006/relationships/hyperlink" Target="http://alerjln1.alerj.rj.gov.br/scpro2327.nsf/18c1dd68f96be3e7832566ec0018d833/9e9a4bc481e1714a032589b1004bfa8e?OpenDocument" TargetMode="External" Id="rId62"/><Relationship Type="http://schemas.openxmlformats.org/officeDocument/2006/relationships/hyperlink" Target="http://alerjln1.alerj.rj.gov.br/scpro1519.nsf/18c1dd68f96be3e7832566ec0018d833/0033632354f2d157832582ba0062031d?OpenDocument" TargetMode="External" Id="rId63"/><Relationship Type="http://schemas.openxmlformats.org/officeDocument/2006/relationships/hyperlink" Target="http://alerjln1.alerj.rj.gov.br/scpro2327.nsf/18c1dd68f96be3e7832566ec0018d833/039591fa66cd6a0f032589490068568c?OpenDocument" TargetMode="External" Id="rId64"/><Relationship Type="http://schemas.openxmlformats.org/officeDocument/2006/relationships/hyperlink" Target="http://alerjln1.alerj.rj.gov.br/scpro2327.nsf/18c1dd68f96be3e7832566ec0018d833/a0d917e15e95711b0325898800694c26?OpenDocument" TargetMode="External" Id="rId65"/><Relationship Type="http://schemas.openxmlformats.org/officeDocument/2006/relationships/hyperlink" Target="http://alerjln1.alerj.rj.gov.br/scpro1923.nsf/18c1dd68f96be3e7832566ec0018d833/b55698f7032a25aa832583fa0054dd40?OpenDocument" TargetMode="External" Id="rId66"/><Relationship Type="http://schemas.openxmlformats.org/officeDocument/2006/relationships/hyperlink" Target="http://alerjln1.alerj.rj.gov.br/scpro2327.nsf/18c1dd68f96be3e7832566ec0018d833/2eba35be8b46633e032589db0062f4aa?OpenDocument" TargetMode="External" Id="rId67"/><Relationship Type="http://schemas.openxmlformats.org/officeDocument/2006/relationships/hyperlink" Target="http://alerjln1.alerj.rj.gov.br/scpro1923.nsf/18c1dd68f96be3e7832566ec0018d833/1167605cdea3b28103258760005fdba1?OpenDocument" TargetMode="External" Id="rId68"/><Relationship Type="http://schemas.openxmlformats.org/officeDocument/2006/relationships/hyperlink" Target="http://alerjln1.alerj.rj.gov.br/scpro1923.nsf/18c1dd68f96be3e7832566ec0018d833/cfac07559150b568832584a900517878?OpenDocument" TargetMode="External" Id="rId69"/><Relationship Type="http://schemas.openxmlformats.org/officeDocument/2006/relationships/hyperlink" Target="http://alerjln1.alerj.rj.gov.br/scpro2327.nsf/18c1dd68f96be3e7832566ec0018d833/0b9cba3bc54e0d42032589fe0054dc36?OpenDocument" TargetMode="External" Id="rId70"/><Relationship Type="http://schemas.openxmlformats.org/officeDocument/2006/relationships/hyperlink" Target="http://alerjln1.alerj.rj.gov.br/scpro1519.nsf/18c1dd68f96be3e7832566ec0018d833/a9850cec7d4eb49b83257f0e0041a13d?OpenDocument" TargetMode="External" Id="rId71"/><Relationship Type="http://schemas.openxmlformats.org/officeDocument/2006/relationships/hyperlink" Target="http://alerjln1.alerj.rj.gov.br/scpro1115.nsf/18c1dd68f96be3e7832566ec0018d833/ee4cffbc56458931832578720050f60d?OpenDocument" TargetMode="External" Id="rId72"/><Relationship Type="http://schemas.openxmlformats.org/officeDocument/2006/relationships/hyperlink" Target="http://alerjln1.alerj.rj.gov.br/scpro1115.nsf/18c1dd68f96be3e7832566ec0018d833/55dc66a9f10618a9832579d1005a68b8?OpenDocument" TargetMode="External" Id="rId73"/><Relationship Type="http://schemas.openxmlformats.org/officeDocument/2006/relationships/hyperlink" Target="http://alerjln1.alerj.rj.gov.br/scpro1923.nsf/18c1dd68f96be3e7832566ec0018d833/5307dcb1aa64d485832584b000662086?OpenDocument" TargetMode="External" Id="rId74"/><Relationship Type="http://schemas.openxmlformats.org/officeDocument/2006/relationships/hyperlink" Target="http://alerjln1.alerj.rj.gov.br/scpro1923.nsf/18c1dd68f96be3e7832566ec0018d833/42d7dca1ac36105a0325862c005bd370?OpenDocument" TargetMode="External" Id="rId75"/><Relationship Type="http://schemas.openxmlformats.org/officeDocument/2006/relationships/hyperlink" Target="http://alerjln1.alerj.rj.gov.br/scpro1923.nsf/18c1dd68f96be3e7832566ec0018d833/0cdfe7d82eff864e03258607005ebd55?OpenDocument" TargetMode="External" Id="rId76"/><Relationship Type="http://schemas.openxmlformats.org/officeDocument/2006/relationships/hyperlink" Target="http://alerjln1.alerj.rj.gov.br/scpro2327.nsf/18c1dd68f96be3e7832566ec0018d833/b161d94f975fdb3a03258988005a05cd?OpenDocument" TargetMode="External" Id="rId77"/><Relationship Type="http://schemas.openxmlformats.org/officeDocument/2006/relationships/hyperlink" Target="http://alerjln1.alerj.rj.gov.br/scpro2327.nsf/18c1dd68f96be3e7832566ec0018d833/7ea2a4b27b97276603258a7d005805d2?OpenDocument" TargetMode="External" Id="rId78"/><Relationship Type="http://schemas.openxmlformats.org/officeDocument/2006/relationships/hyperlink" Target="http://alerjln1.alerj.rj.gov.br/scpro2327.nsf/18c1dd68f96be3e7832566ec0018d833/9df6d62d53aa1ecf03258b00005778d6?OpenDocument" TargetMode="External" Id="rId79"/><Relationship Type="http://schemas.openxmlformats.org/officeDocument/2006/relationships/hyperlink" Target="http://alerjln1.alerj.rj.gov.br/scpro2327.nsf/18c1dd68f96be3e7832566ec0018d833/378d480e08ac38f903258966004cc5ea?OpenDocument" TargetMode="External" Id="rId80"/><Relationship Type="http://schemas.openxmlformats.org/officeDocument/2006/relationships/hyperlink" Target="http://alerjln1.alerj.rj.gov.br/scpro2327.nsf/18c1dd68f96be3e7832566ec0018d833/f86bb0c393a8f31203258ad20043ece2?OpenDocument" TargetMode="External" Id="rId81"/><Relationship Type="http://schemas.openxmlformats.org/officeDocument/2006/relationships/hyperlink" Target="http://alerjln1.alerj.rj.gov.br/scpro2327.nsf/18c1dd68f96be3e7832566ec0018d833/451f328aacd3549b03258b0e005e017c?OpenDocument" TargetMode="External" Id="rId82"/><Relationship Type="http://schemas.openxmlformats.org/officeDocument/2006/relationships/hyperlink" Target="http://alerjln1.alerj.rj.gov.br/scpro2327.nsf/18c1dd68f96be3e7832566ec0018d833/ccc3d1958e4be412032589c5006629ed?OpenDocument" TargetMode="External" Id="rId83"/><Relationship Type="http://schemas.openxmlformats.org/officeDocument/2006/relationships/hyperlink" Target="http://alerjln1.alerj.rj.gov.br/scpro2327.nsf/18c1dd68f96be3e7832566ec0018d833/80f984270a04400903258a06005df01c?OpenDocument" TargetMode="External" Id="rId84"/><Relationship Type="http://schemas.openxmlformats.org/officeDocument/2006/relationships/hyperlink" Target="http://alerjln1.alerj.rj.gov.br/scpro2327.nsf/18c1dd68f96be3e7832566ec0018d833/0bc5256d3bcd57d303258a2100591843?OpenDocument" TargetMode="External" Id="rId85"/><Relationship Type="http://schemas.openxmlformats.org/officeDocument/2006/relationships/hyperlink" Target="http://alerjln1.alerj.rj.gov.br/scpro2327.nsf/18c1dd68f96be3e7832566ec0018d833/50810f7b6cd0763603258a3d0060b3e4?OpenDocument" TargetMode="External" Id="rId86"/><Relationship Type="http://schemas.openxmlformats.org/officeDocument/2006/relationships/hyperlink" Target="http://alerjln1.alerj.rj.gov.br/scpro2327.nsf/18c1dd68f96be3e7832566ec0018d833/5a597e764f5094c203258ab60068c49f?OpenDocument" TargetMode="External" Id="rId87"/><Relationship Type="http://schemas.openxmlformats.org/officeDocument/2006/relationships/hyperlink" Target="http://alerjln1.alerj.rj.gov.br/scpro2327.nsf/18c1dd68f96be3e7832566ec0018d833/a96eaec535928abf03258ad7005a5666?OpenDocument" TargetMode="External" Id="rId88"/><Relationship Type="http://schemas.openxmlformats.org/officeDocument/2006/relationships/hyperlink" Target="http://alerjln1.alerj.rj.gov.br/scpro2327.nsf/18c1dd68f96be3e7832566ec0018d833/07e9bebf8422ef2203258b0a005975d2?OpenDocument" TargetMode="External" Id="rId89"/><Relationship Type="http://schemas.openxmlformats.org/officeDocument/2006/relationships/hyperlink" Target="http://alerjln1.alerj.rj.gov.br/scpro2327.nsf/18c1dd68f96be3e7832566ec0018d833/d50dc427eba2ec7003258b7200505f6f?OpenDocument" TargetMode="External" Id="rId90"/><Relationship Type="http://schemas.openxmlformats.org/officeDocument/2006/relationships/hyperlink" Target="http://alerjln1.alerj.rj.gov.br/scpro2327.nsf/18c1dd68f96be3e7832566ec0018d833/060f4dded9323fd403258ba200538c0a?OpenDocument" TargetMode="External" Id="rId91"/><Relationship Type="http://schemas.openxmlformats.org/officeDocument/2006/relationships/hyperlink" Target="http://alerjln1.alerj.rj.gov.br/scpro1923.nsf/18c1dd68f96be3e7832566ec0018d833/90fc4e7bd2723e970325885400612d7e?OpenDocument" TargetMode="External" Id="rId92"/><Relationship Type="http://schemas.openxmlformats.org/officeDocument/2006/relationships/hyperlink" Target="http://alerjln1.alerj.rj.gov.br/scpro1923.nsf/18c1dd68f96be3e7832566ec0018d833/f29ad54e352bb7890325854a0058fe81?OpenDocument" TargetMode="External" Id="rId93"/><Relationship Type="http://schemas.openxmlformats.org/officeDocument/2006/relationships/hyperlink" Target="http://alerjln1.alerj.rj.gov.br/scpro1923.nsf/18c1dd68f96be3e7832566ec0018d833/3b6ea8f01bce499903258687005f6109?OpenDocument" TargetMode="External" Id="rId94"/><Relationship Type="http://schemas.openxmlformats.org/officeDocument/2006/relationships/hyperlink" Target="http://alerjln1.alerj.rj.gov.br/scpro1923.nsf/18c1dd68f96be3e7832566ec0018d833/1603127426e928cb03258837004bcf91?OpenDocument" TargetMode="External" Id="rId95"/><Relationship Type="http://schemas.openxmlformats.org/officeDocument/2006/relationships/hyperlink" Target="http://alerjln1.alerj.rj.gov.br/scpro1923.nsf/18c1dd68f96be3e7832566ec0018d833/f925b08106059c5a0325884c00611705?OpenDocument" TargetMode="External" Id="rId96"/><Relationship Type="http://schemas.openxmlformats.org/officeDocument/2006/relationships/hyperlink" Target="http://alerjln1.alerj.rj.gov.br/scpro2327.nsf/18c1dd68f96be3e7832566ec0018d833/4f3b6df2f87e93970325899c00623836?OpenDocument" TargetMode="External" Id="rId97"/><Relationship Type="http://schemas.openxmlformats.org/officeDocument/2006/relationships/hyperlink" Target="http://alerjln1.alerj.rj.gov.br/scpro2327.nsf/18c1dd68f96be3e7832566ec0018d833/6fcd60919c6f85b6032589c00056d75b?OpenDocument" TargetMode="External" Id="rId98"/><Relationship Type="http://schemas.openxmlformats.org/officeDocument/2006/relationships/hyperlink" Target="http://alerjln1.alerj.rj.gov.br/scpro2327.nsf/18c1dd68f96be3e7832566ec0018d833/63f3742a4028e23e03258a3d006f77ad?OpenDocument" TargetMode="External" Id="rId99"/><Relationship Type="http://schemas.openxmlformats.org/officeDocument/2006/relationships/hyperlink" Target="http://alerjln1.alerj.rj.gov.br/scpro2327.nsf/18c1dd68f96be3e7832566ec0018d833/acdb9779169a39d703258978006e07fa?OpenDocument" TargetMode="External" Id="rId100"/><Relationship Type="http://schemas.openxmlformats.org/officeDocument/2006/relationships/hyperlink" Target="http://alerjln1.alerj.rj.gov.br/scpro2327.nsf/18c1dd68f96be3e7832566ec0018d833/1507baaf39c0e8cb032589ac00446494?OpenDocument" TargetMode="External" Id="rId101"/><Relationship Type="http://schemas.openxmlformats.org/officeDocument/2006/relationships/hyperlink" Target="http://alerjln1.alerj.rj.gov.br/scpro2327.nsf/18c1dd68f96be3e7832566ec0018d833/73cd4bc2db0ba40903258ae600587cc8?OpenDocument" TargetMode="External" Id="rId102"/><Relationship Type="http://schemas.openxmlformats.org/officeDocument/2006/relationships/hyperlink" Target="http://alerjln1.alerj.rj.gov.br/scpro2327.nsf/18c1dd68f96be3e7832566ec0018d833/457a5178c1ccdf450325894a006dbfa1?OpenDocument" TargetMode="External" Id="rId103"/><Relationship Type="http://schemas.openxmlformats.org/officeDocument/2006/relationships/hyperlink" Target="http://alerjln1.alerj.rj.gov.br/scpro2327.nsf/18c1dd68f96be3e7832566ec0018d833/5ef540992a5e014203258b32006862ac?OpenDocument" TargetMode="External" Id="rId104"/><Relationship Type="http://schemas.openxmlformats.org/officeDocument/2006/relationships/hyperlink" Target="http://alerjln1.alerj.rj.gov.br/scpro2327.nsf/18c1dd68f96be3e7832566ec0018d833/dff570f231a95380032589f100450bac?OpenDocument" TargetMode="External" Id="rId105"/><Relationship Type="http://schemas.openxmlformats.org/officeDocument/2006/relationships/hyperlink" Target="http://alerjln1.alerj.rj.gov.br/scpro2327.nsf/18c1dd68f96be3e7832566ec0018d833/b912edef0d18134903258a1a005983a0?OpenDocument" TargetMode="External" Id="rId106"/><Relationship Type="http://schemas.openxmlformats.org/officeDocument/2006/relationships/hyperlink" Target="http://alerjln1.alerj.rj.gov.br/scpro2327.nsf/18c1dd68f96be3e7832566ec0018d833/452da8c6b1f31e1f03258a1b00512834?OpenDocument" TargetMode="External" Id="rId107"/><Relationship Type="http://schemas.openxmlformats.org/officeDocument/2006/relationships/hyperlink" Target="http://alerjln1.alerj.rj.gov.br/scpro2327.nsf/18c1dd68f96be3e7832566ec0018d833/510b28156847a97003258aca0059d4fd?OpenDocument" TargetMode="External" Id="rId108"/><Relationship Type="http://schemas.openxmlformats.org/officeDocument/2006/relationships/hyperlink" Target="http://alerjln1.alerj.rj.gov.br/scpro2327.nsf/18c1dd68f96be3e7832566ec0018d833/b997dd38a81b1e0403258ba300693e72?OpenDocument" TargetMode="External" Id="rId109"/><Relationship Type="http://schemas.openxmlformats.org/officeDocument/2006/relationships/hyperlink" Target="http://alerjln1.alerj.rj.gov.br/scpro1115.nsf/18c1dd68f96be3e7832566ec0018d833/6ca7d7f63854b41e832579c1006a4f0a?OpenDocument" TargetMode="External" Id="rId110"/><Relationship Type="http://schemas.openxmlformats.org/officeDocument/2006/relationships/hyperlink" Target="http://alerjln1.alerj.rj.gov.br/scpro1519.nsf/18c1dd68f96be3e7832566ec0018d833/14b8ccee4243218383257f70004ecc68?OpenDocument" TargetMode="External" Id="rId111"/><Relationship Type="http://schemas.openxmlformats.org/officeDocument/2006/relationships/hyperlink" Target="http://alerjln1.alerj.rj.gov.br/scpro1519.nsf/18c1dd68f96be3e7832566ec0018d833/dbf5f494f22e37398325819200444ba4?OpenDocument" TargetMode="External" Id="rId112"/><Relationship Type="http://schemas.openxmlformats.org/officeDocument/2006/relationships/hyperlink" Target="http://alerjln1.alerj.rj.gov.br/scpro2327.nsf/18c1dd68f96be3e7832566ec0018d833/f393069904dfa4bc03258987004e7a07?OpenDocument" TargetMode="External" Id="rId113"/><Relationship Type="http://schemas.openxmlformats.org/officeDocument/2006/relationships/hyperlink" Target="http://alerjln1.alerj.rj.gov.br/scpro2327.nsf/18c1dd68f96be3e7832566ec0018d833/a99fee60dd30557a03258bb3005ba05d?OpenDocument" TargetMode="External" Id="rId114"/><Relationship Type="http://schemas.openxmlformats.org/officeDocument/2006/relationships/hyperlink" Target="http://alerjln1.alerj.rj.gov.br/scpro2327.nsf/18c1dd68f96be3e7832566ec0018d833/4d6dd6d1d5f07de1032589f0005eea82?OpenDocument" TargetMode="External" Id="rId115"/><Relationship Type="http://schemas.openxmlformats.org/officeDocument/2006/relationships/hyperlink" Target="http://alerjln1.alerj.rj.gov.br/scpro2327.nsf/18c1dd68f96be3e7832566ec0018d833/4b668452067274d9032589dc0069edf1?OpenDocument" TargetMode="External" Id="rId116"/><Relationship Type="http://schemas.openxmlformats.org/officeDocument/2006/relationships/hyperlink" Target="http://alerjln1.alerj.rj.gov.br/scpro2327.nsf/18c1dd68f96be3e7832566ec0018d833/4b668452067274d9032589dc0069edf1?OpenDocument" TargetMode="External" Id="rId117"/><Relationship Type="http://schemas.openxmlformats.org/officeDocument/2006/relationships/hyperlink" Target="http://alerjln1.alerj.rj.gov.br/scpro2327.nsf/18c1dd68f96be3e7832566ec0018d833/c1dfadc7cab36b7603258bbe004f2ca0?OpenDocument" TargetMode="External" Id="rId118"/><Relationship Type="http://schemas.openxmlformats.org/officeDocument/2006/relationships/hyperlink" Target="http://alerjln1.alerj.rj.gov.br/scpro1923.nsf/18c1dd68f96be3e7832566ec0018d833/d5b5f0db8712fdee032588670067ba64?OpenDocument" TargetMode="External" Id="rId119"/><Relationship Type="http://schemas.openxmlformats.org/officeDocument/2006/relationships/hyperlink" Target="http://alerjln1.alerj.rj.gov.br/scpro2327.nsf/18c1dd68f96be3e7832566ec0018d833/0a64b9bb9012d1dd03258a00005dd944?OpenDocument" TargetMode="External" Id="rId120"/><Relationship Type="http://schemas.openxmlformats.org/officeDocument/2006/relationships/hyperlink" Target="http://alerjln1.alerj.rj.gov.br/scpro2327.nsf/18c1dd68f96be3e7832566ec0018d833/3064f6afba52255203258972004db810?OpenDocument" TargetMode="External" Id="rId121"/><Relationship Type="http://schemas.openxmlformats.org/officeDocument/2006/relationships/hyperlink" Target="http://alerjln1.alerj.rj.gov.br/scpro2327.nsf/18c1dd68f96be3e7832566ec0018d833/5841ef12448729de03258d1600802ccf?OpenDocument" TargetMode="External" Id="rId122"/><Relationship Type="http://schemas.openxmlformats.org/officeDocument/2006/relationships/hyperlink" Target="http://alerjln1.alerj.rj.gov.br/scpro2327.nsf/18c1dd68f96be3e7832566ec0018d833/4e12c15dfca6b52503258d160080a7e5?OpenDocument" TargetMode="External" Id="rId123"/><Relationship Type="http://schemas.openxmlformats.org/officeDocument/2006/relationships/hyperlink" Target="http://alerjln1.alerj.rj.gov.br/scpro1923.nsf/18c1dd68f96be3e7832566ec0018d833/578df22094ab5ac4032585b9005f5d38?OpenDocument" TargetMode="External" Id="rId124"/><Relationship Type="http://schemas.openxmlformats.org/officeDocument/2006/relationships/hyperlink" Target="http://alerjln1.alerj.rj.gov.br/scpro2327.nsf/18c1dd68f96be3e7832566ec0018d833/6216466ab7695c090325898f006adb7d?OpenDocument" TargetMode="External" Id="rId125"/><Relationship Type="http://schemas.openxmlformats.org/officeDocument/2006/relationships/hyperlink" Target="http://alerjln1.alerj.rj.gov.br/scpro2327.nsf/18c1dd68f96be3e7832566ec0018d833/c00d83eee601ffef03258a670062b91f?OpenDocument" TargetMode="External" Id="rId126"/><Relationship Type="http://schemas.openxmlformats.org/officeDocument/2006/relationships/hyperlink" Target="http://alerjln1.alerj.rj.gov.br/scpro2327.nsf/18c1dd68f96be3e7832566ec0018d833/9b192a6e05d49c2503258ad9004d0ab0?OpenDocument" TargetMode="External" Id="rId127"/><Relationship Type="http://schemas.openxmlformats.org/officeDocument/2006/relationships/hyperlink" Target="http://alerjln1.alerj.rj.gov.br/scpro2327.nsf/18c1dd68f96be3e7832566ec0018d833/d49535f1f64392b903258995006c29c1?OpenDocument" TargetMode="External" Id="rId128"/><Relationship Type="http://schemas.openxmlformats.org/officeDocument/2006/relationships/hyperlink" Target="http://alerjln1.alerj.rj.gov.br/scpro2327.nsf/34c4e2da9b17c0d3832566ec0018d830/7ca3878f068ca1f203258cea004d0b64?OpenDocument" TargetMode="External" Id="rId129"/><Relationship Type="http://schemas.openxmlformats.org/officeDocument/2006/relationships/hyperlink" Target="http://alerjln1.alerj.rj.gov.br/scpro1519.nsf/18c1dd68f96be3e7832566ec0018d833/01b597a00f854cd2832581e9005cdcf2?OpenDocument" TargetMode="External" Id="rId130"/><Relationship Type="http://schemas.openxmlformats.org/officeDocument/2006/relationships/hyperlink" Target="http://alerjln1.alerj.rj.gov.br/scpro1923.nsf/18c1dd68f96be3e7832566ec0018d833/e1b725d7971414d9032584c700681c6e?OpenDocument" TargetMode="External" Id="rId131"/><Relationship Type="http://schemas.openxmlformats.org/officeDocument/2006/relationships/hyperlink" Target="http://alerjln1.alerj.rj.gov.br/scpro2327.nsf/18c1dd68f96be3e7832566ec0018d833/32540b24a6fd2d20032589cf0055e147?OpenDocument" TargetMode="External" Id="rId132"/><Relationship Type="http://schemas.openxmlformats.org/officeDocument/2006/relationships/hyperlink" Target="http://alerjln1.alerj.rj.gov.br/scpro2327.nsf/18c1dd68f96be3e7832566ec0018d833/2cd01072eb8e51ed03258a3f005d2536?OpenDocument" TargetMode="External" Id="rId133"/><Relationship Type="http://schemas.openxmlformats.org/officeDocument/2006/relationships/hyperlink" Target="http://alerjln1.alerj.rj.gov.br/scpro2327.nsf/18c1dd68f96be3e7832566ec0018d833/f1054edf8b5286d403258aba005c7410?OpenDocument" TargetMode="External" Id="rId134"/><Relationship Type="http://schemas.openxmlformats.org/officeDocument/2006/relationships/hyperlink" Target="http://alerjln1.alerj.rj.gov.br/scpro2327.nsf/18c1dd68f96be3e7832566ec0018d833/e68294a2c12d046b03258a520061622c?OpenDocument" TargetMode="External" Id="rId135"/><Relationship Type="http://schemas.openxmlformats.org/officeDocument/2006/relationships/hyperlink" Target="http://alerjln1.alerj.rj.gov.br/scpro2327.nsf/18c1dd68f96be3e7832566ec0018d833/bc3ece539bd22ac703258b1600644898?OpenDocument" TargetMode="External" Id="rId136"/><Relationship Type="http://schemas.openxmlformats.org/officeDocument/2006/relationships/hyperlink" Target="http://alerjln1.alerj.rj.gov.br/scpro1519.nsf/18c1dd68f96be3e7832566ec0018d833/c316505839d3e79e832581ef0050f7ab?OpenDocument" TargetMode="External" Id="rId137"/><Relationship Type="http://schemas.openxmlformats.org/officeDocument/2006/relationships/hyperlink" Target="http://alerjln1.alerj.rj.gov.br/scpro1519.nsf/18c1dd68f96be3e7832566ec0018d833/014f8ad0a9404bfe832582560060de1e?OpenDocument" TargetMode="External" Id="rId138"/><Relationship Type="http://schemas.openxmlformats.org/officeDocument/2006/relationships/hyperlink" Target="http://alerjln1.alerj.rj.gov.br/scpro1923.nsf/18c1dd68f96be3e7832566ec0018d833/b94e098a8e3378a7032585030063bfa1?OpenDocument" TargetMode="External" Id="rId139"/><Relationship Type="http://schemas.openxmlformats.org/officeDocument/2006/relationships/hyperlink" Target="http://alerjln1.alerj.rj.gov.br/scpro2327.nsf/18c1dd68f96be3e7832566ec0018d833/f0029602415dd62a03258a290069a8fc?OpenDocument" TargetMode="External" Id="rId140"/><Relationship Type="http://schemas.openxmlformats.org/officeDocument/2006/relationships/hyperlink" Target="http://alerjln1.alerj.rj.gov.br/scpro2327.nsf/18c1dd68f96be3e7832566ec0018d833/59f5f737f012d01a03258a0000617940?OpenDocument" TargetMode="External" Id="rId141"/><Relationship Type="http://schemas.openxmlformats.org/officeDocument/2006/relationships/hyperlink" Target="http://alerjln1.alerj.rj.gov.br/scpro2327.nsf/18c1dd68f96be3e7832566ec0018d833/9b7529167ba25eb5032589dc00716948?OpenDocument" TargetMode="External" Id="rId142"/><Relationship Type="http://schemas.openxmlformats.org/officeDocument/2006/relationships/hyperlink" Target="http://alerjln1.alerj.rj.gov.br/scpro2327.nsf/18c1dd68f96be3e7832566ec0018d833/d15daaf6117f85b50325898e00744144?OpenDocument" TargetMode="External" Id="rId143"/><Relationship Type="http://schemas.openxmlformats.org/officeDocument/2006/relationships/hyperlink" Target="http://alerjln1.alerj.rj.gov.br/scpro2327.nsf/18c1dd68f96be3e7832566ec0018d833/3c9dfe68dbe7725e032589880062f4c6?OpenDocument" TargetMode="External" Id="rId144"/><Relationship Type="http://schemas.openxmlformats.org/officeDocument/2006/relationships/hyperlink" Target="http://alerjln1.alerj.rj.gov.br/scpro2327.nsf/18c1dd68f96be3e7832566ec0018d833/bf2050b8c439f6c60325898700498241?OpenDocument" TargetMode="External" Id="rId145"/><Relationship Type="http://schemas.openxmlformats.org/officeDocument/2006/relationships/hyperlink" Target="http://alerjln1.alerj.rj.gov.br/scpro2327.nsf/18c1dd68f96be3e7832566ec0018d833/259570fc89859f270325894f00525c60?OpenDocument" TargetMode="External" Id="rId146"/><Relationship Type="http://schemas.openxmlformats.org/officeDocument/2006/relationships/hyperlink" Target="http://alerjln1.alerj.rj.gov.br/scpro2327.nsf/18c1dd68f96be3e7832566ec0018d833/8324aeedecc7c7f603258b0a005c9990?OpenDocument" TargetMode="External" Id="rId147"/><Relationship Type="http://schemas.openxmlformats.org/officeDocument/2006/relationships/hyperlink" Target="http://alerjln1.alerj.rj.gov.br/scpro2327.nsf/18c1dd68f96be3e7832566ec0018d833/dcdfb36101867b00032589d4005810a2?OpenDocument" TargetMode="External" Id="rId148"/><Relationship Type="http://schemas.openxmlformats.org/officeDocument/2006/relationships/hyperlink" Target="http://alerjln1.alerj.rj.gov.br/scpro2327.nsf/18c1dd68f96be3e7832566ec0018d833/9f31f08e05c6fcbe03258980004d36b2?OpenDocument" TargetMode="External" Id="rId149"/><Relationship Type="http://schemas.openxmlformats.org/officeDocument/2006/relationships/hyperlink" Target="http://alerjln1.alerj.rj.gov.br/scpro2327.nsf/18c1dd68f96be3e7832566ec0018d833/00b217421106748d032589740060394c?OpenDocument" TargetMode="External" Id="rId150"/><Relationship Type="http://schemas.openxmlformats.org/officeDocument/2006/relationships/hyperlink" Target="http://alerjln1.alerj.rj.gov.br/scpro1923.nsf/18c1dd68f96be3e7832566ec0018d833/3bb655cc94be03a50325867f00585a42?OpenDocument" TargetMode="External" Id="rId151"/><Relationship Type="http://schemas.openxmlformats.org/officeDocument/2006/relationships/hyperlink" Target="http://alerjln1.alerj.rj.gov.br/scpro2327.nsf/18c1dd68f96be3e7832566ec0018d833/1a77ff5e91f9432003258972005428b2?OpenDocument" TargetMode="External" Id="rId152"/><Relationship Type="http://schemas.openxmlformats.org/officeDocument/2006/relationships/hyperlink" Target="http://alerjln1.alerj.rj.gov.br/scpro2327.nsf/18c1dd68f96be3e7832566ec0018d833/1f7526cbded7d90003258a0c0065bde7?OpenDocument" TargetMode="External" Id="rId153"/><Relationship Type="http://schemas.openxmlformats.org/officeDocument/2006/relationships/hyperlink" Target="http://alerjln1.alerj.rj.gov.br/scpro2327.nsf/18c1dd68f96be3e7832566ec0018d833/c7096baa707e6f5f03258b0300607e9d?OpenDocument" TargetMode="External" Id="rId154"/><Relationship Type="http://schemas.openxmlformats.org/officeDocument/2006/relationships/hyperlink" Target="http://alerjln1.alerj.rj.gov.br/scpro2327.nsf/18c1dd68f96be3e7832566ec0018d833/c4062086244fc1c503258b790064d859?OpenDocument" TargetMode="External" Id="rId155"/><Relationship Type="http://schemas.openxmlformats.org/officeDocument/2006/relationships/hyperlink" Target="http://alerjln1.alerj.rj.gov.br/scpro1923.nsf/18c1dd68f96be3e7832566ec0018d833/6facdabccc844f29032586db00598a17?OpenDocument" TargetMode="External" Id="rId156"/><Relationship Type="http://schemas.openxmlformats.org/officeDocument/2006/relationships/hyperlink" Target="http://alerjln1.alerj.rj.gov.br/scpro2327.nsf/18c1dd68f96be3e7832566ec0018d833/eebeac140ef5ea92032589d50049407f?OpenDocument" TargetMode="External" Id="rId157"/><Relationship Type="http://schemas.openxmlformats.org/officeDocument/2006/relationships/hyperlink" Target="http://alerjln1.alerj.rj.gov.br/scpro2327.nsf/18c1dd68f96be3e7832566ec0018d833/b5a873759aadd1ea03258b020056027a?OpenDocument" TargetMode="External" Id="rId158"/><Relationship Type="http://schemas.openxmlformats.org/officeDocument/2006/relationships/hyperlink" Target="http://alerjln1.alerj.rj.gov.br/scpro2327.nsf/18c1dd68f96be3e7832566ec0018d833/a306df4daa8975fc03258b390047aced?OpenDocument" TargetMode="External" Id="rId159"/><Relationship Type="http://schemas.openxmlformats.org/officeDocument/2006/relationships/hyperlink" Target="http://alerjln1.alerj.rj.gov.br/scpro1923.nsf/18c1dd68f96be3e7832566ec0018d833/d2dee775eea87ba6032586c3006ae24f?OpenDocument" TargetMode="External" Id="rId160"/><Relationship Type="http://schemas.openxmlformats.org/officeDocument/2006/relationships/hyperlink" Target="http://alerjln1.alerj.rj.gov.br/scpro1923.nsf/18c1dd68f96be3e7832566ec0018d833/b292689ddd324aa50325880d00529281?OpenDocument" TargetMode="External" Id="rId161"/><Relationship Type="http://schemas.openxmlformats.org/officeDocument/2006/relationships/hyperlink" Target="http://alerjln1.alerj.rj.gov.br/scpro2327.nsf/18c1dd68f96be3e7832566ec0018d833/16cd4595ba786d5c03258972004d6b55?OpenDocument" TargetMode="External" Id="rId162"/><Relationship Type="http://schemas.openxmlformats.org/officeDocument/2006/relationships/hyperlink" Target="http://alerjln1.alerj.rj.gov.br/scpro2327.nsf/18c1dd68f96be3e7832566ec0018d833/5d797cd07f204bd2032589810055b68b?OpenDocument" TargetMode="External" Id="rId163"/><Relationship Type="http://schemas.openxmlformats.org/officeDocument/2006/relationships/hyperlink" Target="http://alerjln1.alerj.rj.gov.br/scpro2327.nsf/18c1dd68f96be3e7832566ec0018d833/259430fd2610e43703258a06005f9919?OpenDocument" TargetMode="External" Id="rId164"/><Relationship Type="http://schemas.openxmlformats.org/officeDocument/2006/relationships/hyperlink" Target="http://alerjln1.alerj.rj.gov.br/scpro2327.nsf/18c1dd68f96be3e7832566ec0018d833/ffc63e2626b7668003258a0c005c84b3?OpenDocument" TargetMode="External" Id="rId165"/><Relationship Type="http://schemas.openxmlformats.org/officeDocument/2006/relationships/hyperlink" Target="http://alerjln1.alerj.rj.gov.br/scpro2327.nsf/18c1dd68f96be3e7832566ec0018d833/a7daabfea71b1a5003258a4b0061096c?OpenDocument" TargetMode="External" Id="rId166"/><Relationship Type="http://schemas.openxmlformats.org/officeDocument/2006/relationships/hyperlink" Target="http://alerjln1.alerj.rj.gov.br/scpro2327.nsf/18c1dd68f96be3e7832566ec0018d833/82056bd6e5ba7e8303258b0000549cc2?OpenDocument" TargetMode="External" Id="rId167"/><Relationship Type="http://schemas.openxmlformats.org/officeDocument/2006/relationships/hyperlink" Target="http://alerjln1.alerj.rj.gov.br/scpro2327.nsf/18c1dd68f96be3e7832566ec0018d833/a61b191cc198a84a03258c0e00769ef1?OpenDocument" TargetMode="External" Id="rId168"/><Relationship Type="http://schemas.openxmlformats.org/officeDocument/2006/relationships/hyperlink" Target="http://alerjln1.alerj.rj.gov.br/scpro1923.nsf/18c1dd68f96be3e7832566ec0018d833/42a95b27b86a50b003258687005fa85e?OpenDocument" TargetMode="External" Id="rId169"/><Relationship Type="http://schemas.openxmlformats.org/officeDocument/2006/relationships/hyperlink" Target="http://alerjln1.alerj.rj.gov.br/scpro1923.nsf/18c1dd68f96be3e7832566ec0018d833/862e6816e766f7700325869c005d6f80?OpenDocument" TargetMode="External" Id="rId170"/><Relationship Type="http://schemas.openxmlformats.org/officeDocument/2006/relationships/hyperlink" Target="http://alerjln1.alerj.rj.gov.br/scpro1923.nsf/18c1dd68f96be3e7832566ec0018d833/38b6b23f3e302c9b0325884e0053ee49?OpenDocument" TargetMode="External" Id="rId171"/><Relationship Type="http://schemas.openxmlformats.org/officeDocument/2006/relationships/hyperlink" Target="http://alerjln1.alerj.rj.gov.br/scpro2327.nsf/18c1dd68f96be3e7832566ec0018d833/84f5930dca65d797032589490069f9f6?OpenDocument" TargetMode="External" Id="rId172"/><Relationship Type="http://schemas.openxmlformats.org/officeDocument/2006/relationships/hyperlink" Target="http://alerjln1.alerj.rj.gov.br/scpro2327.nsf/18c1dd68f96be3e7832566ec0018d833/8f89b3502b489f240325896b0057f088?OpenDocument" TargetMode="External" Id="rId173"/><Relationship Type="http://schemas.openxmlformats.org/officeDocument/2006/relationships/hyperlink" Target="http://alerjln1.alerj.rj.gov.br/scpro2327.nsf/18c1dd68f96be3e7832566ec0018d833/fa1be7d2b0b19c8c032589b8005ca1e0?OpenDocument" TargetMode="External" Id="rId174"/><Relationship Type="http://schemas.openxmlformats.org/officeDocument/2006/relationships/hyperlink" Target="http://alerjln1.alerj.rj.gov.br/scpro2327.nsf/18c1dd68f96be3e7832566ec0018d833/17679c4197fef960032589ff0041eb3d?OpenDocument" TargetMode="External" Id="rId175"/><Relationship Type="http://schemas.openxmlformats.org/officeDocument/2006/relationships/hyperlink" Target="http://alerjln1.alerj.rj.gov.br/scpro2327.nsf/18c1dd68f96be3e7832566ec0018d833/30b294edd094ff2a03258a0000528ef5?OpenDocument" TargetMode="External" Id="rId176"/><Relationship Type="http://schemas.openxmlformats.org/officeDocument/2006/relationships/hyperlink" Target="http://alerjln1.alerj.rj.gov.br/scpro2327.nsf/18c1dd68f96be3e7832566ec0018d833/c3aa7012a79d413803258a0d005c0ec5?OpenDocument" TargetMode="External" Id="rId177"/><Relationship Type="http://schemas.openxmlformats.org/officeDocument/2006/relationships/hyperlink" Target="http://alerjln1.alerj.rj.gov.br/scpro2327.nsf/18c1dd68f96be3e7832566ec0018d833/91f11028c66dd14903258a220064e544?OpenDocument" TargetMode="External" Id="rId178"/><Relationship Type="http://schemas.openxmlformats.org/officeDocument/2006/relationships/hyperlink" Target="http://alerjln1.alerj.rj.gov.br/scpro2327.nsf/18c1dd68f96be3e7832566ec0018d833/aba80bd61b8a024603258c52004e598b?OpenDocument" TargetMode="External" Id="rId179"/><Relationship Type="http://schemas.openxmlformats.org/officeDocument/2006/relationships/hyperlink" Target="http://alerjln1.alerj.rj.gov.br/scpro1519.nsf/18c1dd68f96be3e7832566ec0018d833/ebb0a59bd917b148832580dc00671663?OpenDocument" TargetMode="External" Id="rId180"/><Relationship Type="http://schemas.openxmlformats.org/officeDocument/2006/relationships/hyperlink" Target="http://alerjln1.alerj.rj.gov.br/scpro2327.nsf/18c1dd68f96be3e7832566ec0018d833/6b124f6a864a91ed03258a360062ee0f?OpenDocument" TargetMode="External" Id="rId181"/><Relationship Type="http://schemas.openxmlformats.org/officeDocument/2006/relationships/hyperlink" Target="http://alerjln1.alerj.rj.gov.br/scpro2327.nsf/18c1dd68f96be3e7832566ec0018d833/65acf46cca015fcc03258aed005fdbb1?OpenDocument" TargetMode="External" Id="rId182"/><Relationship Type="http://schemas.openxmlformats.org/officeDocument/2006/relationships/hyperlink" Target="http://alerjln1.alerj.rj.gov.br/scpro2327.nsf/18c1dd68f96be3e7832566ec0018d833/50b6bc102b7b551a03258b0a005e4d83?OpenDocument" TargetMode="External" Id="rId183"/><Relationship Type="http://schemas.openxmlformats.org/officeDocument/2006/relationships/hyperlink" Target="http://alerjln1.alerj.rj.gov.br/scpro1923.nsf/18c1dd68f96be3e7832566ec0018d833/9a669832319efd33032585c8005e85f1?OpenDocument" TargetMode="External" Id="rId184"/><Relationship Type="http://schemas.openxmlformats.org/officeDocument/2006/relationships/hyperlink" Target="http://alerjln1.alerj.rj.gov.br/scpro2327.nsf/18c1dd68f96be3e7832566ec0018d833/c5df03d7df9b59b203258a290047ee65?OpenDocument" TargetMode="External" Id="rId185"/><Relationship Type="http://schemas.openxmlformats.org/officeDocument/2006/relationships/hyperlink" Target="http://alerjln1.alerj.rj.gov.br/scpro2327.nsf/18c1dd68f96be3e7832566ec0018d833/21105a15fad0ae2f03258b33006781e0?OpenDocument" TargetMode="External" Id="rId186"/><Relationship Type="http://schemas.openxmlformats.org/officeDocument/2006/relationships/hyperlink" Target="http://alerjln1.alerj.rj.gov.br/scpro2327.nsf/18c1dd68f96be3e7832566ec0018d833/b33ec75fcd3d7ea703258bb700623d66?OpenDocument" TargetMode="External" Id="rId187"/><Relationship Type="http://schemas.openxmlformats.org/officeDocument/2006/relationships/hyperlink" Target="http://alerjln1.alerj.rj.gov.br/scpro2327.nsf/18c1dd68f96be3e7832566ec0018d833/e7281c7aacb38b7503258be20064d79c?OpenDocument" TargetMode="External" Id="rId188"/><Relationship Type="http://schemas.openxmlformats.org/officeDocument/2006/relationships/hyperlink" Target="http://alerjln1.alerj.rj.gov.br/scpro2327.nsf/18c1dd68f96be3e7832566ec0018d833/c9b00590df6cf2340325896c0064d887?OpenDocument" TargetMode="External" Id="rId189"/><Relationship Type="http://schemas.openxmlformats.org/officeDocument/2006/relationships/hyperlink" Target="http://alerjln1.alerj.rj.gov.br/scpro2327.nsf/18c1dd68f96be3e7832566ec0018d833/ea8ba03f16350b550325898d004de0dc?OpenDocument" TargetMode="External" Id="rId190"/><Relationship Type="http://schemas.openxmlformats.org/officeDocument/2006/relationships/hyperlink" Target="http://alerjln1.alerj.rj.gov.br/scpro2327.nsf/18c1dd68f96be3e7832566ec0018d833/3911575a230cf00f032589f900590b48?OpenDocument" TargetMode="External" Id="rId191"/><Relationship Type="http://schemas.openxmlformats.org/officeDocument/2006/relationships/hyperlink" Target="http://alerjln1.alerj.rj.gov.br/scpro2327.nsf/18c1dd68f96be3e7832566ec0018d833/90861bbc834b8f0803258bcc00619c4a?OpenDocument" TargetMode="External" Id="rId192"/><Relationship Type="http://schemas.openxmlformats.org/officeDocument/2006/relationships/hyperlink" Target="http://alerjln1.alerj.rj.gov.br/scpro1923.nsf/18c1dd68f96be3e7832566ec0018d833/d8b0d1ed1077e49c03258625004dfffa?OpenDocument" TargetMode="External" Id="rId193"/><Relationship Type="http://schemas.openxmlformats.org/officeDocument/2006/relationships/hyperlink" Target="http://alerjln1.alerj.rj.gov.br/scpro1923.nsf/18c1dd68f96be3e7832566ec0018d833/3cf566ff3f4e9db403258734006bfcb1?OpenDocument" TargetMode="External" Id="rId194"/><Relationship Type="http://schemas.openxmlformats.org/officeDocument/2006/relationships/hyperlink" Target="http://alerjln1.alerj.rj.gov.br/scpro1923.nsf/18c1dd68f96be3e7832566ec0018d833/ac9cb0c494465a12032588710065272e?OpenDocument" TargetMode="External" Id="rId195"/><Relationship Type="http://schemas.openxmlformats.org/officeDocument/2006/relationships/hyperlink" Target="http://alerjln1.alerj.rj.gov.br/scpro2327.nsf/18c1dd68f96be3e7832566ec0018d833/34f6c506a35572ad032589ac004f7958?OpenDocument" TargetMode="External" Id="rId196"/><Relationship Type="http://schemas.openxmlformats.org/officeDocument/2006/relationships/hyperlink" Target="http://alerjln1.alerj.rj.gov.br/scpro2327.nsf/18c1dd68f96be3e7832566ec0018d833/ab5af12b01d7eb0403258a77006177fc?OpenDocument" TargetMode="External" Id="rId197"/><Relationship Type="http://schemas.openxmlformats.org/officeDocument/2006/relationships/hyperlink" Target="http://alerjln1.alerj.rj.gov.br/scpro2327.nsf/18c1dd68f96be3e7832566ec0018d833/24dad65df37222c403258b090056d50a?OpenDocument" TargetMode="External" Id="rId198"/><Relationship Type="http://schemas.openxmlformats.org/officeDocument/2006/relationships/hyperlink" Target="http://alerjln1.alerj.rj.gov.br/scpro2327.nsf/18c1dd68f96be3e7832566ec0018d833/df7bb319e5c90fee03258b7f004ddd4a?OpenDocument" TargetMode="External" Id="rId199"/><Relationship Type="http://schemas.openxmlformats.org/officeDocument/2006/relationships/hyperlink" Target="http://alerjln1.alerj.rj.gov.br/scpro2327.nsf/18c1dd68f96be3e7832566ec0018d833/6bccf423d282117403258b8c0048ee15?OpenDocument" TargetMode="External" Id="rId200"/><Relationship Type="http://schemas.openxmlformats.org/officeDocument/2006/relationships/hyperlink" Target="http://alerjln1.alerj.rj.gov.br/scpro1923.nsf/18c1dd68f96be3e7832566ec0018d833/9cb6e04e4648768603258685004d2128?OpenDocument" TargetMode="External" Id="rId201"/><Relationship Type="http://schemas.openxmlformats.org/officeDocument/2006/relationships/hyperlink" Target="http://alerjln1.alerj.rj.gov.br/scpro1923.nsf/18c1dd68f96be3e7832566ec0018d833/cfd59f6dfccd7724032587750065b9f6?OpenDocument" TargetMode="External" Id="rId202"/><Relationship Type="http://schemas.openxmlformats.org/officeDocument/2006/relationships/hyperlink" Target="http://alerjln1.alerj.rj.gov.br/scpro2327.nsf/18c1dd68f96be3e7832566ec0018d833/8e1ffcf9028a89950325894a006e61df?OpenDocument" TargetMode="External" Id="rId203"/><Relationship Type="http://schemas.openxmlformats.org/officeDocument/2006/relationships/hyperlink" Target="http://alerjln1.alerj.rj.gov.br/scpro2327.nsf/18c1dd68f96be3e7832566ec0018d833/5a0f33e769127fc70325899d005494da?OpenDocument" TargetMode="External" Id="rId204"/><Relationship Type="http://schemas.openxmlformats.org/officeDocument/2006/relationships/hyperlink" Target="http://alerjln1.alerj.rj.gov.br/scpro2327.nsf/18c1dd68f96be3e7832566ec0018d833/a74a6db37806648903258a2800603f68?OpenDocument" TargetMode="External" Id="rId205"/><Relationship Type="http://schemas.openxmlformats.org/officeDocument/2006/relationships/hyperlink" Target="http://alerjln1.alerj.rj.gov.br/scpro2327.nsf/18c1dd68f96be3e7832566ec0018d833/11743b8bbec3775e03258a7c006f9859?OpenDocument" TargetMode="External" Id="rId206"/><Relationship Type="http://schemas.openxmlformats.org/officeDocument/2006/relationships/hyperlink" Target="http://alerjln1.alerj.rj.gov.br/scpro2327.nsf/18c1dd68f96be3e7832566ec0018d833/4b590aa5b3ac722003258b870054442f?OpenDocument" TargetMode="External" Id="rId207"/><Relationship Type="http://schemas.openxmlformats.org/officeDocument/2006/relationships/hyperlink" Target="http://alerjln1.alerj.rj.gov.br/scpro1923.nsf/18c1dd68f96be3e7832566ec0018d833/d0b5d921245ab083832584b000671131?OpenDocument" TargetMode="External" Id="rId208"/><Relationship Type="http://schemas.openxmlformats.org/officeDocument/2006/relationships/hyperlink" Target="http://alerjln1.alerj.rj.gov.br/scpro2327.nsf/18c1dd68f96be3e7832566ec0018d833/c8b949352c2d2f700325899d0067ee85?OpenDocument" TargetMode="External" Id="rId209"/><Relationship Type="http://schemas.openxmlformats.org/officeDocument/2006/relationships/hyperlink" Target="http://alerjln1.alerj.rj.gov.br/scpro2327.nsf/18c1dd68f96be3e7832566ec0018d833/89d08aa47f6ec990032589ab004ce037?OpenDocument" TargetMode="External" Id="rId210"/><Relationship Type="http://schemas.openxmlformats.org/officeDocument/2006/relationships/hyperlink" Target="http://alerjln1.alerj.rj.gov.br/scpro2327.nsf/18c1dd68f96be3e7832566ec0018d833/8d74c2a21af66a6b03258b1d0063fa9c?OpenDocument" TargetMode="External" Id="rId211"/><Relationship Type="http://schemas.openxmlformats.org/officeDocument/2006/relationships/hyperlink" Target="http://alerjln1.alerj.rj.gov.br/scpro2327.nsf/18c1dd68f96be3e7832566ec0018d833/dbf9f896a22a1f8703258b9b0055d4c2?OpenDocument" TargetMode="External" Id="rId212"/><Relationship Type="http://schemas.openxmlformats.org/officeDocument/2006/relationships/hyperlink" Target="http://alerjln1.alerj.rj.gov.br/scpro2327.nsf/18c1dd68f96be3e7832566ec0018d833/21b753d5f5ae8ac503258bf50059424f?OpenDocument" TargetMode="External" Id="rId213"/><Relationship Type="http://schemas.openxmlformats.org/officeDocument/2006/relationships/hyperlink" Target="http://alerjln1.alerj.rj.gov.br/scpro1923.nsf/18c1dd68f96be3e7832566ec0018d833/19d54f3712875b9d0325888d00675ce0?OpenDocument" TargetMode="External" Id="rId214"/><Relationship Type="http://schemas.openxmlformats.org/officeDocument/2006/relationships/hyperlink" Target="http://alerjln1.alerj.rj.gov.br/scpro1519.nsf/18c1dd68f96be3e7832566ec0018d833/95f99dad67f5d5bd83257fb800678bb1?OpenDocument" TargetMode="External" Id="rId215"/><Relationship Type="http://schemas.openxmlformats.org/officeDocument/2006/relationships/hyperlink" Target="http://alerjln1.alerj.rj.gov.br/scpro1923.nsf/18c1dd68f96be3e7832566ec0018d833/a7e6efd52f533808032585910054fbf6?OpenDocument" TargetMode="External" Id="rId216"/><Relationship Type="http://schemas.openxmlformats.org/officeDocument/2006/relationships/hyperlink" Target="http://alerjln1.alerj.rj.gov.br/scpro1923.nsf/18c1dd68f96be3e7832566ec0018d833/440f2a6ef3ab94fd0325859e0050b8d2?OpenDocument" TargetMode="External" Id="rId217"/><Relationship Type="http://schemas.openxmlformats.org/officeDocument/2006/relationships/hyperlink" Target="http://alerjln1.alerj.rj.gov.br/scpro1923.nsf/18c1dd68f96be3e7832566ec0018d833/c2c24857d2e16409032587de006bdccf?OpenDocument" TargetMode="External" Id="rId218"/><Relationship Type="http://schemas.openxmlformats.org/officeDocument/2006/relationships/hyperlink" Target="http://alerjln1.alerj.rj.gov.br/scpro2327.nsf/18c1dd68f96be3e7832566ec0018d833/657c91f295e1151f03258b86004eece2?OpenDocument" TargetMode="External" Id="rId219"/><Relationship Type="http://schemas.openxmlformats.org/officeDocument/2006/relationships/hyperlink" Target="http://alerjln1.alerj.rj.gov.br/scpro2327.nsf/18c1dd68f96be3e7832566ec0018d833/9e03d8abfc9243e103258bc7004a3c9f?OpenDocument" TargetMode="External" Id="rId220"/><Relationship Type="http://schemas.openxmlformats.org/officeDocument/2006/relationships/hyperlink" Target="http://alerjln1.alerj.rj.gov.br/scpro2327.nsf/18c1dd68f96be3e7832566ec0018d833/c88bb20257e1063903258a22004b02cd?OpenDocument" TargetMode="External" Id="rId221"/><Relationship Type="http://schemas.openxmlformats.org/officeDocument/2006/relationships/hyperlink" Target="http://alerjln1.alerj.rj.gov.br/scpro1923.nsf/18c1dd68f96be3e7832566ec0018d833/7a90e6a9e3efffec032585e500539e27?OpenDocument" TargetMode="External" Id="rId222"/><Relationship Type="http://schemas.openxmlformats.org/officeDocument/2006/relationships/hyperlink" Target="http://alerjln1.alerj.rj.gov.br/scpro2327.nsf/18c1dd68f96be3e7832566ec0018d833/f2b2896461d2be3603258a8400674823?OpenDocument" TargetMode="External" Id="rId223"/><Relationship Type="http://schemas.openxmlformats.org/officeDocument/2006/relationships/hyperlink" Target="http://alerjln1.alerj.rj.gov.br/scpro2327.nsf/18c1dd68f96be3e7832566ec0018d833/363c8c13d0c10f4603258ad100645598?OpenDocument" TargetMode="External" Id="rId224"/><Relationship Type="http://schemas.openxmlformats.org/officeDocument/2006/relationships/hyperlink" Target="http://alerjln1.alerj.rj.gov.br/scpro2327.nsf/18c1dd68f96be3e7832566ec0018d833/b66ff174b6ba1ca503258b7f0064ebd6?OpenDocument" TargetMode="External" Id="rId225"/><Relationship Type="http://schemas.openxmlformats.org/officeDocument/2006/relationships/hyperlink" Target="http://alerjln1.alerj.rj.gov.br/scpro2327.nsf/18c1dd68f96be3e7832566ec0018d833/c48363667ab1039403258b86004f334d?OpenDocument" TargetMode="External" Id="rId226"/><Relationship Type="http://schemas.openxmlformats.org/officeDocument/2006/relationships/hyperlink" Target="http://alerjln1.alerj.rj.gov.br/scpro2327.nsf/18c1dd68f96be3e7832566ec0018d833/a94a2714cf0ac95d03258c970061581f?OpenDocument" TargetMode="External" Id="rId227"/><Relationship Type="http://schemas.openxmlformats.org/officeDocument/2006/relationships/hyperlink" Target="http://alerjln1.alerj.rj.gov.br/scpro1923.nsf/18c1dd68f96be3e7832566ec0018d833/163764f5a6b8650603258743006242a4?OpenDocument" TargetMode="External" Id="rId228"/><Relationship Type="http://schemas.openxmlformats.org/officeDocument/2006/relationships/hyperlink" Target="http://alerjln1.alerj.rj.gov.br/scpro1923.nsf/18c1dd68f96be3e7832566ec0018d833/73894546d0e8a095032587e300658af6?OpenDocument" TargetMode="External" Id="rId229"/><Relationship Type="http://schemas.openxmlformats.org/officeDocument/2006/relationships/hyperlink" Target="http://alerjln1.alerj.rj.gov.br/scpro2327.nsf/18c1dd68f96be3e7832566ec0018d833/fabab851eca1fe2d03258a44005a4ba9?OpenDocument" TargetMode="External" Id="rId230"/><Relationship Type="http://schemas.openxmlformats.org/officeDocument/2006/relationships/hyperlink" Target="http://alerjln1.alerj.rj.gov.br/scpro2327.nsf/18c1dd68f96be3e7832566ec0018d833/59f5f737f012d01a03258a0000617940?OpenDocument" TargetMode="External" Id="rId231"/><Relationship Type="http://schemas.openxmlformats.org/officeDocument/2006/relationships/hyperlink" Target="http://alerjln1.alerj.rj.gov.br/scpro1519.nsf/18c1dd68f96be3e7832566ec0018d833/52ed178cd5713da683257de10047bac1?OpenDocument" TargetMode="External" Id="rId232"/><Relationship Type="http://schemas.openxmlformats.org/officeDocument/2006/relationships/hyperlink" Target="http://alerjln1.alerj.rj.gov.br/scpro1923.nsf/18c1dd68f96be3e7832566ec0018d833/fdee07e199496fd2032585a000501879?OpenDocument" TargetMode="External" Id="rId233"/><Relationship Type="http://schemas.openxmlformats.org/officeDocument/2006/relationships/hyperlink" Target="http://alerjln1.alerj.rj.gov.br/scpro1923.nsf/18c1dd68f96be3e7832566ec0018d833/ccfc657883a4b7900325868d006b61eb?OpenDocument" TargetMode="External" Id="rId234"/><Relationship Type="http://schemas.openxmlformats.org/officeDocument/2006/relationships/hyperlink" Target="http://alerjln1.alerj.rj.gov.br/scpro2327.nsf/18c1dd68f96be3e7832566ec0018d833/2564f2ebd9e5a8580325899d005a7a55?OpenDocument" TargetMode="External" Id="rId235"/><Relationship Type="http://schemas.openxmlformats.org/officeDocument/2006/relationships/hyperlink" Target="http://alerjln1.alerj.rj.gov.br/scpro2327.nsf/18c1dd68f96be3e7832566ec0018d833/ec7a6c04f1ac12c7032589a300575ea2?OpenDocument" TargetMode="External" Id="rId236"/><Relationship Type="http://schemas.openxmlformats.org/officeDocument/2006/relationships/hyperlink" Target="http://alerjln1.alerj.rj.gov.br/scpro2327.nsf/18c1dd68f96be3e7832566ec0018d833/c417337d6a354c5103258a350051918e?OpenDocument" TargetMode="External" Id="rId237"/><Relationship Type="http://schemas.openxmlformats.org/officeDocument/2006/relationships/hyperlink" Target="http://alerjln1.alerj.rj.gov.br/scpro1519.nsf/18c1dd68f96be3e7832566ec0018d833/281cb9b6242358d883258146005e76cb?OpenDocument" TargetMode="External" Id="rId238"/><Relationship Type="http://schemas.openxmlformats.org/officeDocument/2006/relationships/hyperlink" Target="http://alerjln1.alerj.rj.gov.br/scpro1923.nsf/18c1dd68f96be3e7832566ec0018d833/ed53baef2757ea10032587fe0064b453?OpenDocument" TargetMode="External" Id="rId239"/><Relationship Type="http://schemas.openxmlformats.org/officeDocument/2006/relationships/hyperlink" Target="http://alerjln1.alerj.rj.gov.br/scpro1923.nsf/18c1dd68f96be3e7832566ec0018d833/54689ffedadae64e0325871b005faed3?OpenDocument" TargetMode="External" Id="rId240"/><Relationship Type="http://schemas.openxmlformats.org/officeDocument/2006/relationships/hyperlink" Target="http://alerjln1.alerj.rj.gov.br/scpro1923.nsf/18c1dd68f96be3e7832566ec0018d833/0f36ea55a3199c6d032585a6005b8cf1?OpenDocument" TargetMode="External" Id="rId241"/><Relationship Type="http://schemas.openxmlformats.org/officeDocument/2006/relationships/hyperlink" Target="http://alerjln1.alerj.rj.gov.br/scpro2327.nsf/18c1dd68f96be3e7832566ec0018d833/2ef1c1ab5d960449032589a500459547?OpenDocument" TargetMode="External" Id="rId242"/><Relationship Type="http://schemas.openxmlformats.org/officeDocument/2006/relationships/hyperlink" Target="http://alerjln1.alerj.rj.gov.br/scpro2327.nsf/18c1dd68f96be3e7832566ec0018d833/600c32e20f811c4e03258af500576e28?OpenDocument" TargetMode="External" Id="rId243"/><Relationship Type="http://schemas.openxmlformats.org/officeDocument/2006/relationships/hyperlink" Target="http://alerjln1.alerj.rj.gov.br/scpro1519.nsf/18c1dd68f96be3e7832566ec0018d833/15eec9fc65414871832582eb005aed19?OpenDocument" TargetMode="External" Id="rId244"/><Relationship Type="http://schemas.openxmlformats.org/officeDocument/2006/relationships/hyperlink" Target="http://alerjln1.alerj.rj.gov.br/scpro1923.nsf/18c1dd68f96be3e7832566ec0018d833/23b079a73fd432fd032585e40055dadc?OpenDocument" TargetMode="External" Id="rId245"/><Relationship Type="http://schemas.openxmlformats.org/officeDocument/2006/relationships/hyperlink" Target="http://alerjln1.alerj.rj.gov.br/scpro2327.nsf/18c1dd68f96be3e7832566ec0018d833/6c14e02fed3c5a11032589730065a7a0?OpenDocument" TargetMode="External" Id="rId246"/><Relationship Type="http://schemas.openxmlformats.org/officeDocument/2006/relationships/hyperlink" Target="http://alerjln1.alerj.rj.gov.br/scpro2327.nsf/18c1dd68f96be3e7832566ec0018d833/7d08552a1be92dcc0325899600755edf?OpenDocument" TargetMode="External" Id="rId247"/><Relationship Type="http://schemas.openxmlformats.org/officeDocument/2006/relationships/hyperlink" Target="http://alerjln1.alerj.rj.gov.br/scpro2327.nsf/18c1dd68f96be3e7832566ec0018d833/a78253b4759fb00c03258a3500677ec2?OpenDocument" TargetMode="External" Id="rId248"/><Relationship Type="http://schemas.openxmlformats.org/officeDocument/2006/relationships/hyperlink" Target="http://alerjln1.alerj.rj.gov.br/scpro2327.nsf/18c1dd68f96be3e7832566ec0018d833/657b9326dfe407ed03258a3d004bb0ab?OpenDocument" TargetMode="External" Id="rId249"/><Relationship Type="http://schemas.openxmlformats.org/officeDocument/2006/relationships/hyperlink" Target="http://alerjln1.alerj.rj.gov.br/scpro2327.nsf/18c1dd68f96be3e7832566ec0018d833/1a3465ca0091c7ce03258a840067a3cd?OpenDocument" TargetMode="External" Id="rId250"/><Relationship Type="http://schemas.openxmlformats.org/officeDocument/2006/relationships/hyperlink" Target="http://alerjln1.alerj.rj.gov.br/scpro2327.nsf/18c1dd68f96be3e7832566ec0018d833/8f85b8eebd67d65403258be9006bc24a?OpenDocument" TargetMode="External" Id="rId251"/><Relationship Type="http://schemas.openxmlformats.org/officeDocument/2006/relationships/hyperlink" Target="http://alerjln1.alerj.rj.gov.br/scpro1923.nsf/18c1dd68f96be3e7832566ec0018d833/35cc8d08de71ca5c832584aa0050822c?OpenDocument" TargetMode="External" Id="rId252"/><Relationship Type="http://schemas.openxmlformats.org/officeDocument/2006/relationships/hyperlink" Target="http://alerjln1.alerj.rj.gov.br/scpro1923.nsf/18c1dd68f96be3e7832566ec0018d833/9c45a6b45aa800b9032585590058143f?OpenDocument" TargetMode="External" Id="rId253"/><Relationship Type="http://schemas.openxmlformats.org/officeDocument/2006/relationships/hyperlink" Target="http://alerjln1.alerj.rj.gov.br/scpro1923.nsf/18c1dd68f96be3e7832566ec0018d833/c7ebb0c0d6b2a3c2032585280067d1d3?OpenDocument" TargetMode="External" Id="rId254"/><Relationship Type="http://schemas.openxmlformats.org/officeDocument/2006/relationships/hyperlink" Target="http://alerjln1.alerj.rj.gov.br/scpro2327.nsf/18c1dd68f96be3e7832566ec0018d833/9df47d85772b21590325898100509ab0?OpenDocument" TargetMode="External" Id="rId255"/><Relationship Type="http://schemas.openxmlformats.org/officeDocument/2006/relationships/hyperlink" Target="http://alerjln1.alerj.rj.gov.br/scpro1923.nsf/18c1dd68f96be3e7832566ec0018d833/bf26d1774ec2683b032588da0068fa67?OpenDocument" TargetMode="External" Id="rId256"/><Relationship Type="http://schemas.openxmlformats.org/officeDocument/2006/relationships/hyperlink" Target="http://alerjln1.alerj.rj.gov.br/scpro1115.nsf/18c1dd68f96be3e7832566ec0018d833/fd8008ca19ae2dff83257b72004efe27?OpenDocument" TargetMode="External" Id="rId257"/><Relationship Type="http://schemas.openxmlformats.org/officeDocument/2006/relationships/hyperlink" Target="http://alerjln1.alerj.rj.gov.br/scpro1923.nsf/18c1dd68f96be3e7832566ec0018d833/d0d33c9fbbe258c70325869c005e57a3?OpenDocument" TargetMode="External" Id="rId258"/><Relationship Type="http://schemas.openxmlformats.org/officeDocument/2006/relationships/hyperlink" Target="http://alerjln1.alerj.rj.gov.br/scpro1923.nsf/18c1dd68f96be3e7832566ec0018d833/919220158275269c03258816006d7fc0?OpenDocument" TargetMode="External" Id="rId259"/><Relationship Type="http://schemas.openxmlformats.org/officeDocument/2006/relationships/hyperlink" Target="http://alerjln1.alerj.rj.gov.br/scpro2327.nsf/18c1dd68f96be3e7832566ec0018d833/4698fb502c1b7d0a03258a67005fbd71?OpenDocument" TargetMode="External" Id="rId260"/><Relationship Type="http://schemas.openxmlformats.org/officeDocument/2006/relationships/hyperlink" Target="http://alerjln1.alerj.rj.gov.br/scpro2327.nsf/18c1dd68f96be3e7832566ec0018d833/e323e5add6ceb07c032589c6005d5c25?OpenDocument" TargetMode="External" Id="rId261"/><Relationship Type="http://schemas.openxmlformats.org/officeDocument/2006/relationships/hyperlink" Target="http://alerjln1.alerj.rj.gov.br/scpro2327.nsf/18c1dd68f96be3e7832566ec0018d833/d73a98bc545f9e4d03258a66006f5443?OpenDocument" TargetMode="External" Id="rId262"/><Relationship Type="http://schemas.openxmlformats.org/officeDocument/2006/relationships/hyperlink" Target="http://alerjln1.alerj.rj.gov.br/scpro1923.nsf/18c1dd68f96be3e7832566ec0018d833/e5c3f8291b0e568a032587ec005d4b9b?OpenDocument" TargetMode="External" Id="rId263"/><Relationship Type="http://schemas.openxmlformats.org/officeDocument/2006/relationships/hyperlink" Target="http://alerjln1.alerj.rj.gov.br/scpro1519.nsf/18c1dd68f96be3e7832566ec0018d833/76cafe2d0042e55483258114005c0518?OpenDocument" TargetMode="External" Id="rId264"/><Relationship Type="http://schemas.openxmlformats.org/officeDocument/2006/relationships/hyperlink" Target="http://alerjln1.alerj.rj.gov.br/scpro1923.nsf/18c1dd68f96be3e7832566ec0018d833/0a7e3c3543d688b903258686004f5e05?OpenDocument" TargetMode="External" Id="rId265"/><Relationship Type="http://schemas.openxmlformats.org/officeDocument/2006/relationships/hyperlink" Target="http://alerjln1.alerj.rj.gov.br/scpro1923.nsf/18c1dd68f96be3e7832566ec0018d833/4ae1cb9f13cb16ea832583a80057d23c?OpenDocument" TargetMode="External" Id="rId266"/><Relationship Type="http://schemas.openxmlformats.org/officeDocument/2006/relationships/hyperlink" Target="http://alerjln1.alerj.rj.gov.br/scpro1923.nsf/18c1dd68f96be3e7832566ec0018d833/38cb7074ed76ba488325842c00637448?OpenDocument" TargetMode="External" Id="rId267"/><Relationship Type="http://schemas.openxmlformats.org/officeDocument/2006/relationships/hyperlink" Target="http://alerjln1.alerj.rj.gov.br/scpro2327.nsf/18c1dd68f96be3e7832566ec0018d833/0db4acb886ee2c8903258b0a005ec7f9?OpenDocument" TargetMode="External" Id="rId268"/><Relationship Type="http://schemas.openxmlformats.org/officeDocument/2006/relationships/hyperlink" Target="http://alerjln1.alerj.rj.gov.br/scpro2327.nsf/18c1dd68f96be3e7832566ec0018d833/a64fb64a238658e0032589dc0068fdb0?OpenDocument" TargetMode="External" Id="rId269"/><Relationship Type="http://schemas.openxmlformats.org/officeDocument/2006/relationships/hyperlink" Target="http://alerjln1.alerj.rj.gov.br/scpro1923.nsf/18c1dd68f96be3e7832566ec0018d833/cdcca2387fa392620325875700552039?OpenDocument" TargetMode="External" Id="rId270"/><Relationship Type="http://schemas.openxmlformats.org/officeDocument/2006/relationships/hyperlink" Target="http://alerjln1.alerj.rj.gov.br/scpro1519.nsf/18c1dd68f96be3e7832566ec0018d833/92cbcc0c4555587383257e19005331c3?OpenDocument" TargetMode="External" Id="rId271"/><Relationship Type="http://schemas.openxmlformats.org/officeDocument/2006/relationships/hyperlink" Target="http://alerjln1.alerj.rj.gov.br/scpro1923.nsf/18c1dd68f96be3e7832566ec0018d833/6238bf1620c9fd71032585fa005c4b27?OpenDocument" TargetMode="External" Id="rId272"/><Relationship Type="http://schemas.openxmlformats.org/officeDocument/2006/relationships/hyperlink" Target="http://alerjln1.alerj.rj.gov.br/scpro2327.nsf/18c1dd68f96be3e7832566ec0018d833/d2bd6649a580229d0325897300693449?OpenDocument" TargetMode="External" Id="rId273"/><Relationship Type="http://schemas.openxmlformats.org/officeDocument/2006/relationships/hyperlink" Target="http://alerjln1.alerj.rj.gov.br/scpro2327.nsf/18c1dd68f96be3e7832566ec0018d833/a3ca7663ff7912d10325897000686e09?OpenDocument" TargetMode="External" Id="rId274"/><Relationship Type="http://schemas.openxmlformats.org/officeDocument/2006/relationships/hyperlink" Target="http://alerjln1.alerj.rj.gov.br/scpro2327.nsf/18c1dd68f96be3e7832566ec0018d833/412866a18e9758930325894a00522811?OpenDocument" TargetMode="External" Id="rId275"/><Relationship Type="http://schemas.openxmlformats.org/officeDocument/2006/relationships/hyperlink" Target="http://alerjln1.alerj.rj.gov.br/scpro1923.nsf/18c1dd68f96be3e7832566ec0018d833/6649ef365c0a19bd032588520076e100?OpenDocument" TargetMode="External" Id="rId276"/><Relationship Type="http://schemas.openxmlformats.org/officeDocument/2006/relationships/hyperlink" Target="http://alerjln1.alerj.rj.gov.br/scpro2327.nsf/18c1dd68f96be3e7832566ec0018d833/18d7a30bea839ed503258a0e0061d9f6?OpenDocument" TargetMode="External" Id="rId277"/><Relationship Type="http://schemas.openxmlformats.org/officeDocument/2006/relationships/hyperlink" Target="http://alerjln1.alerj.rj.gov.br/scpro2327.nsf/18c1dd68f96be3e7832566ec0018d833/0403a811b0387d47032589bf0057c049?OpenDocument" TargetMode="External" Id="rId278"/><Relationship Type="http://schemas.openxmlformats.org/officeDocument/2006/relationships/hyperlink" Target="http://alerjln1.alerj.rj.gov.br/scpro2327.nsf/18c1dd68f96be3e7832566ec0018d833/87218c54344a0d24032589a4005c44b3?OpenDocument" TargetMode="External" Id="rId279"/><Relationship Type="http://schemas.openxmlformats.org/officeDocument/2006/relationships/hyperlink" Target="http://alerjln1.alerj.rj.gov.br/scpro1519.nsf/18c1dd68f96be3e7832566ec0018d833/de8a19f8cd9c3f88832581e800566296?OpenDocument" TargetMode="External" Id="rId280"/><Relationship Type="http://schemas.openxmlformats.org/officeDocument/2006/relationships/hyperlink" Target="http://alerjln1.alerj.rj.gov.br/scpro1923.nsf/18c1dd68f96be3e7832566ec0018d833/6c446c3c7a1e66f30325881b0073335a?OpenDocument" TargetMode="External" Id="rId281"/><Relationship Type="http://schemas.openxmlformats.org/officeDocument/2006/relationships/hyperlink" Target="http://alerjln1.alerj.rj.gov.br/scpro1923.nsf/18c1dd68f96be3e7832566ec0018d833/525a1553525813100325853500557e21?OpenDocument" TargetMode="External" Id="rId282"/><Relationship Type="http://schemas.openxmlformats.org/officeDocument/2006/relationships/hyperlink" Target="http://alerjln1.alerj.rj.gov.br/scpro2327.nsf/18c1dd68f96be3e7832566ec0018d833/2bbcd9627347136d032589560067b2f3?OpenDocument" TargetMode="External" Id="rId283"/><Relationship Type="http://schemas.openxmlformats.org/officeDocument/2006/relationships/hyperlink" Target="http://alerjln1.alerj.rj.gov.br/scpro1923.nsf/18c1dd68f96be3e7832566ec0018d833/4101e03370bc0e840325856d006b1201?OpenDocument" TargetMode="External" Id="rId284"/><Relationship Type="http://schemas.openxmlformats.org/officeDocument/2006/relationships/hyperlink" Target="http://alerjln1.alerj.rj.gov.br/scpro2327.nsf/18c1dd68f96be3e7832566ec0018d833/ad9dcd52bf6182b203258a1d00667c0a?OpenDocument" TargetMode="External" Id="rId285"/><Relationship Type="http://schemas.openxmlformats.org/officeDocument/2006/relationships/hyperlink" Target="http://alerjln1.alerj.rj.gov.br/scpro2327.nsf/18c1dd68f96be3e7832566ec0018d833/b727f287d86a9a7c03258aba00508182?OpenDocument" TargetMode="External" Id="rId286"/><Relationship Type="http://schemas.openxmlformats.org/officeDocument/2006/relationships/hyperlink" Target="http://alerjln1.alerj.rj.gov.br/scpro2327.nsf/18c1dd68f96be3e7832566ec0018d833/1e2ae9c22189fcfc03258ba20054af25?OpenDocument" TargetMode="External" Id="rId287"/><Relationship Type="http://schemas.openxmlformats.org/officeDocument/2006/relationships/hyperlink" Target="http://alerjln1.alerj.rj.gov.br/scpro2327.nsf/18c1dd68f96be3e7832566ec0018d833/8c2bf56280feece703258c51006cbfe2?OpenDocument" TargetMode="External" Id="rId288"/><Relationship Type="http://schemas.openxmlformats.org/officeDocument/2006/relationships/hyperlink" Target="http://alerjln1.alerj.rj.gov.br/scpro2327.nsf/18c1dd68f96be3e7832566ec0018d833/b3e263ac03c6119103258a750051237b?OpenDocument" TargetMode="External" Id="rId289"/><Relationship Type="http://schemas.openxmlformats.org/officeDocument/2006/relationships/hyperlink" Target="http://alerjln1.alerj.rj.gov.br/scpro2327.nsf/18c1dd68f96be3e7832566ec0018d833/54be4d212e97492303258a85006126b7?OpenDocument" TargetMode="External" Id="rId290"/><Relationship Type="http://schemas.openxmlformats.org/officeDocument/2006/relationships/hyperlink" Target="http://alerjln1.alerj.rj.gov.br/scpro2327.nsf/18c1dd68f96be3e7832566ec0018d833/7ecb2831ebaf6ec303258b19005de233?OpenDocument" TargetMode="External" Id="rId291"/><Relationship Type="http://schemas.openxmlformats.org/officeDocument/2006/relationships/hyperlink" Target="http://alerjln1.alerj.rj.gov.br/scpro2327.nsf/18c1dd68f96be3e7832566ec0018d833/2a00b9407ca3aded032589950061cece?OpenDocument" TargetMode="External" Id="rId292"/><Relationship Type="http://schemas.openxmlformats.org/officeDocument/2006/relationships/hyperlink" Target="http://alerjln1.alerj.rj.gov.br/scpro2327.nsf/18c1dd68f96be3e7832566ec0018d833/0026df99465aa1eb03258b8d0053284c?OpenDocument" TargetMode="External" Id="rId293"/><Relationship Type="http://schemas.openxmlformats.org/officeDocument/2006/relationships/hyperlink" Target="http://alerjln1.alerj.rj.gov.br/scpro1519.nsf/18c1dd68f96be3e7832566ec0018d833/93709439f11756f8832580dc00625a03?OpenDocument" TargetMode="External" Id="rId294"/><Relationship Type="http://schemas.openxmlformats.org/officeDocument/2006/relationships/hyperlink" Target="http://alerjln1.alerj.rj.gov.br/scpro1519.nsf/18c1dd68f96be3e7832566ec0018d833/04bc8bb81e187805832581d8005de236?OpenDocument" TargetMode="External" Id="rId295"/><Relationship Type="http://schemas.openxmlformats.org/officeDocument/2006/relationships/hyperlink" Target="http://alerjln1.alerj.rj.gov.br/scpro2327.nsf/18c1dd68f96be3e7832566ec0018d833/bf25086a3cb97fd003258963004f1f01?OpenDocument" TargetMode="External" Id="rId296"/><Relationship Type="http://schemas.openxmlformats.org/officeDocument/2006/relationships/hyperlink" Target="http://alerjln1.alerj.rj.gov.br/scpro2327.nsf/18c1dd68f96be3e7832566ec0018d833/9bc1c5aef429d91e0325899d0065db97?OpenDocument" TargetMode="External" Id="rId297"/><Relationship Type="http://schemas.openxmlformats.org/officeDocument/2006/relationships/hyperlink" Target="http://alerjln1.alerj.rj.gov.br/scpro2327.nsf/18c1dd68f96be3e7832566ec0018d833/cace9f546304c71c03258b340044f3df?OpenDocument" TargetMode="External" Id="rId298"/><Relationship Type="http://schemas.openxmlformats.org/officeDocument/2006/relationships/hyperlink" Target="http://alerjln1.alerj.rj.gov.br/scpro2327.nsf/18c1dd68f96be3e7832566ec0018d833/07541004378d38de03258c3400700a08?OpenDocument" TargetMode="External" Id="rId299"/><Relationship Type="http://schemas.openxmlformats.org/officeDocument/2006/relationships/hyperlink" Target="http://alerjln1.alerj.rj.gov.br/scpro1923.nsf/18c1dd68f96be3e7832566ec0018d833/a7dfac85aa712f7f8325846500647137?OpenDocument" TargetMode="External" Id="rId300"/><Relationship Type="http://schemas.openxmlformats.org/officeDocument/2006/relationships/hyperlink" Target="http://alerjln1.alerj.rj.gov.br/scpro1923.nsf/18c1dd68f96be3e7832566ec0018d833/9f0b8f2ce5241dc40325875f00581c96?OpenDocument" TargetMode="External" Id="rId301"/><Relationship Type="http://schemas.openxmlformats.org/officeDocument/2006/relationships/hyperlink" Target="http://alerjln1.alerj.rj.gov.br/scpro1923.nsf/18c1dd68f96be3e7832566ec0018d833/f6151b52e871b046032585b5005d729c?OpenDocument" TargetMode="External" Id="rId302"/><Relationship Type="http://schemas.openxmlformats.org/officeDocument/2006/relationships/hyperlink" Target="http://alerjln1.alerj.rj.gov.br/scpro2327.nsf/18c1dd68f96be3e7832566ec0018d833/241daa70a09e5e4003258988005df341?OpenDocument" TargetMode="External" Id="rId303"/><Relationship Type="http://schemas.openxmlformats.org/officeDocument/2006/relationships/hyperlink" Target="http://alerjln1.alerj.rj.gov.br/scpro2327.nsf/18c1dd68f96be3e7832566ec0018d833/f6e3f3753a5cc9b003258a1a00575adb?OpenDocument" TargetMode="External" Id="rId304"/><Relationship Type="http://schemas.openxmlformats.org/officeDocument/2006/relationships/hyperlink" Target="http://alerjln1.alerj.rj.gov.br/scpro2327.nsf/18c1dd68f96be3e7832566ec0018d833/7737cf3e88b314bc03258d0d007084b5?OpenDocument" TargetMode="External" Id="rId305"/><Relationship Type="http://schemas.openxmlformats.org/officeDocument/2006/relationships/hyperlink" Target="http://alerjln1.alerj.rj.gov.br/scpro2327.nsf/18c1dd68f96be3e7832566ec0018d833/cd1c1d07c5cb847903258ad900490c91?OpenDocument" TargetMode="External" Id="rId306"/><Relationship Type="http://schemas.openxmlformats.org/officeDocument/2006/relationships/hyperlink" Target="http://alerjln1.alerj.rj.gov.br/scpro2327.nsf/18c1dd68f96be3e7832566ec0018d833/cc1858b0ce09c98003258c49005e8d4d?OpenDocument" TargetMode="External" Id="rId307"/><Relationship Type="http://schemas.openxmlformats.org/officeDocument/2006/relationships/hyperlink" Target="http://alerjln1.alerj.rj.gov.br/scpro1923.nsf/18c1dd68f96be3e7832566ec0018d833/f2c22c14b58ac38d832583fc00509047?OpenDocument" TargetMode="External" Id="rId308"/><Relationship Type="http://schemas.openxmlformats.org/officeDocument/2006/relationships/hyperlink" Target="http://alerjln1.alerj.rj.gov.br/scpro1923.nsf/18c1dd68f96be3e7832566ec0018d833/05e394a86cb99ab70325874400612d40?OpenDocument" TargetMode="External" Id="rId309"/><Relationship Type="http://schemas.openxmlformats.org/officeDocument/2006/relationships/hyperlink" Target="http://alerjln1.alerj.rj.gov.br/scpro1923.nsf/18c1dd68f96be3e7832566ec0018d833/dd8650c8ce4d42fd03258568005ef548?OpenDocument" TargetMode="External" Id="rId310"/><Relationship Type="http://schemas.openxmlformats.org/officeDocument/2006/relationships/hyperlink" Target="http://alerjln1.alerj.rj.gov.br/scpro2327.nsf/18c1dd68f96be3e7832566ec0018d833/1f2e32518bdbf4b003258a5a0070d3b7?OpenDocument" TargetMode="External" Id="rId311"/><Relationship Type="http://schemas.openxmlformats.org/officeDocument/2006/relationships/hyperlink" Target="http://alerjln1.alerj.rj.gov.br/scpro2327.nsf/18c1dd68f96be3e7832566ec0018d833/502033e49fc2219103258d16004cfefe?OpenDocument" TargetMode="External" Id="rId312"/><Relationship Type="http://schemas.openxmlformats.org/officeDocument/2006/relationships/hyperlink" Target="http://alerjln1.alerj.rj.gov.br/scpro1923.nsf/18c1dd68f96be3e7832566ec0018d833/9a440bc50e65be9c03258638006047e7?OpenDocument" TargetMode="External" Id="rId313"/><Relationship Type="http://schemas.openxmlformats.org/officeDocument/2006/relationships/hyperlink" Target="http://alerjln1.alerj.rj.gov.br/scpro1923.nsf/18c1dd68f96be3e7832566ec0018d833/1859e8561a20a36303258736004e48f8?OpenDocument" TargetMode="External" Id="rId314"/><Relationship Type="http://schemas.openxmlformats.org/officeDocument/2006/relationships/hyperlink" Target="http://alerjln1.alerj.rj.gov.br/scpro2327.nsf/18c1dd68f96be3e7832566ec0018d833/25556aab014206cd03258c66005625c3?OpenDocument" TargetMode="External" Id="rId315"/><Relationship Type="http://schemas.openxmlformats.org/officeDocument/2006/relationships/hyperlink" Target="http://alerjln1.alerj.rj.gov.br/scpro2327.nsf/18c1dd68f96be3e7832566ec0018d833/802284ebe50708d703258cee005de90f?OpenDocument" TargetMode="External" Id="rId316"/><Relationship Type="http://schemas.openxmlformats.org/officeDocument/2006/relationships/hyperlink" Target="http://alerjln1.alerj.rj.gov.br/scpro2327.nsf/18c1dd68f96be3e7832566ec0018d833/921d2dc368dece9f03258d4e006b8242?OpenDocument" TargetMode="External" Id="rId317"/><Relationship Type="http://schemas.openxmlformats.org/officeDocument/2006/relationships/hyperlink" Target="http://alerjln1.alerj.rj.gov.br/scpro1923.nsf/18c1dd68f96be3e7832566ec0018d833/69bdd3d683de1113032587f0005395c9?OpenDocument" TargetMode="External" Id="rId318"/><Relationship Type="http://schemas.openxmlformats.org/officeDocument/2006/relationships/hyperlink" Target="http://alerjln1.alerj.rj.gov.br/scpro1923.nsf/18c1dd68f96be3e7832566ec0018d833/975758ecab1bede003258758005cc54d?OpenDocument" TargetMode="External" Id="rId319"/><Relationship Type="http://schemas.openxmlformats.org/officeDocument/2006/relationships/hyperlink" Target="http://alerjln1.alerj.rj.gov.br/scpro1923.nsf/18c1dd68f96be3e7832566ec0018d833/4463199453b500d20325874a00676f62?OpenDocument" TargetMode="External" Id="rId320"/></Relationships>
</file>

<file path=xl/worksheets/_rels/sheet3.xml.rels><Relationships xmlns="http://schemas.openxmlformats.org/package/2006/relationships"><Relationship Type="http://schemas.openxmlformats.org/officeDocument/2006/relationships/hyperlink" Target="http://alerjln1.alerj.rj.gov.br/scpro1923.nsf/18c1dd68f96be3e7832566ec0018d833/9cb6e04e4648768603258685004d2128?OpenDocument" TargetMode="External" Id="rId1"/><Relationship Type="http://schemas.openxmlformats.org/officeDocument/2006/relationships/hyperlink" Target="http://alerjln1.alerj.rj.gov.br/scpro2327.nsf/18c1dd68f96be3e7832566ec0018d833/259570fc89859f270325894f00525c60?OpenDocument" TargetMode="External" Id="rId2"/><Relationship Type="http://schemas.openxmlformats.org/officeDocument/2006/relationships/hyperlink" Target="http://alerjln1.alerj.rj.gov.br/scpro2327.nsf/18c1dd68f96be3e7832566ec0018d833/bf2050b8c439f6c60325898700498241?OpenDocument" TargetMode="External" Id="rId3"/><Relationship Type="http://schemas.openxmlformats.org/officeDocument/2006/relationships/hyperlink" Target="http://alerjln1.alerj.rj.gov.br/scpro2327.nsf/18c1dd68f96be3e7832566ec0018d833/3c9dfe68dbe7725e032589880062f4c6?OpenDocument" TargetMode="External" Id="rId4"/><Relationship Type="http://schemas.openxmlformats.org/officeDocument/2006/relationships/hyperlink" Target="http://alerjln1.alerj.rj.gov.br/scpro2327.nsf/18c1dd68f96be3e7832566ec0018d833/5a0f33e769127fc70325899d005494da?OpenDocument" TargetMode="External" Id="rId5"/><Relationship Type="http://schemas.openxmlformats.org/officeDocument/2006/relationships/hyperlink" Target="http://alerjln1.alerj.rj.gov.br/scpro2327.nsf/18c1dd68f96be3e7832566ec0018d833/c8b949352c2d2f700325899d0067ee85?OpenDocument" TargetMode="External" Id="rId6"/><Relationship Type="http://schemas.openxmlformats.org/officeDocument/2006/relationships/hyperlink" Target="http://alerjln1.alerj.rj.gov.br/scpro2327.nsf/18c1dd68f96be3e7832566ec0018d833/11743b8bbec3775e03258a7c006f9859?OpenDocument" TargetMode="External" Id="rId7"/><Relationship Type="http://schemas.openxmlformats.org/officeDocument/2006/relationships/hyperlink" Target="http://alerjln1.alerj.rj.gov.br/scpro2327.nsf/18c1dd68f96be3e7832566ec0018d833/4b590aa5b3ac722003258b870054442f?OpenDocument" TargetMode="External" Id="rId8"/><Relationship Type="http://schemas.openxmlformats.org/officeDocument/2006/relationships/hyperlink" Target="http://alerjln1.alerj.rj.gov.br/scpro2327.nsf/18c1dd68f96be3e7832566ec0018d833/a306df4daa8975fc03258b390047aced?OpenDocument" TargetMode="External" Id="rId9"/><Relationship Type="http://schemas.openxmlformats.org/officeDocument/2006/relationships/hyperlink" Target="http://alerjln1.alerj.rj.gov.br/scpro1519.nsf/18c1dd68f96be3e7832566ec0018d833/95f99dad67f5d5bd83257fb800678bb1?OpenDocument" TargetMode="External" Id="rId10"/><Relationship Type="http://schemas.openxmlformats.org/officeDocument/2006/relationships/hyperlink" Target="http://alerjln1.alerj.rj.gov.br/scpro1923.nsf/18c1dd68f96be3e7832566ec0018d833/d0b5d921245ab083832584b000671131?OpenDocument" TargetMode="External" Id="rId11"/><Relationship Type="http://schemas.openxmlformats.org/officeDocument/2006/relationships/hyperlink" Target="http://alerjln1.alerj.rj.gov.br/scpro1923.nsf/18c1dd68f96be3e7832566ec0018d833/a7e6efd52f533808032585910054fbf6?OpenDocument" TargetMode="External" Id="rId12"/><Relationship Type="http://schemas.openxmlformats.org/officeDocument/2006/relationships/hyperlink" Target="http://alerjln1.alerj.rj.gov.br/scpro1923.nsf/18c1dd68f96be3e7832566ec0018d833/440f2a6ef3ab94fd0325859e0050b8d2?OpenDocument" TargetMode="External" Id="rId13"/><Relationship Type="http://schemas.openxmlformats.org/officeDocument/2006/relationships/hyperlink" Target="http://alerjln1.alerj.rj.gov.br/scpro1923.nsf/18c1dd68f96be3e7832566ec0018d833/fdee07e199496fd2032585a000501879?OpenDocument" TargetMode="External" Id="rId14"/><Relationship Type="http://schemas.openxmlformats.org/officeDocument/2006/relationships/hyperlink" Target="http://alerjln1.alerj.rj.gov.br/scpro1923.nsf/18c1dd68f96be3e7832566ec0018d833/c2c24857d2e16409032587de006bdccf?OpenDocument" TargetMode="External" Id="rId15"/><Relationship Type="http://schemas.openxmlformats.org/officeDocument/2006/relationships/hyperlink" Target="http://alerjln1.alerj.rj.gov.br/scpro2327.nsf/18c1dd68f96be3e7832566ec0018d833/c9b00590df6cf2340325896c0064d887?OpenDocument" TargetMode="External" Id="rId16"/><Relationship Type="http://schemas.openxmlformats.org/officeDocument/2006/relationships/hyperlink" Target="http://alerjln1.alerj.rj.gov.br/scpro2327.nsf/18c1dd68f96be3e7832566ec0018d833/ea8ba03f16350b550325898d004de0dc?OpenDocument" TargetMode="External" Id="rId17"/><Relationship Type="http://schemas.openxmlformats.org/officeDocument/2006/relationships/hyperlink" Target="http://alerjln1.alerj.rj.gov.br/scpro2327.nsf/18c1dd68f96be3e7832566ec0018d833/3911575a230cf00f032589f900590b48?OpenDocument" TargetMode="External" Id="rId18"/><Relationship Type="http://schemas.openxmlformats.org/officeDocument/2006/relationships/hyperlink" Target="http://alerjln1.alerj.rj.gov.br/scpro2327.nsf/18c1dd68f96be3e7832566ec0018d833/17679c4197fef960032589ff0041eb3d?OpenDocument" TargetMode="External" Id="rId19"/><Relationship Type="http://schemas.openxmlformats.org/officeDocument/2006/relationships/hyperlink" Target="http://alerjln1.alerj.rj.gov.br/scpro2327.nsf/18c1dd68f96be3e7832566ec0018d833/30b294edd094ff2a03258a0000528ef5?OpenDocument" TargetMode="External" Id="rId20"/><Relationship Type="http://schemas.openxmlformats.org/officeDocument/2006/relationships/hyperlink" Target="http://alerjln1.alerj.rj.gov.br/scpro2327.nsf/18c1dd68f96be3e7832566ec0018d833/c5df03d7df9b59b203258a290047ee65?OpenDocument" TargetMode="External" Id="rId21"/><Relationship Type="http://schemas.openxmlformats.org/officeDocument/2006/relationships/hyperlink" Target="http://alerjln1.alerj.rj.gov.br/scpro2327.nsf/18c1dd68f96be3e7832566ec0018d833/21105a15fad0ae2f03258b33006781e0?OpenDocument" TargetMode="External" Id="rId22"/><Relationship Type="http://schemas.openxmlformats.org/officeDocument/2006/relationships/hyperlink" Target="http://alerjln1.alerj.rj.gov.br/scpro2327.nsf/18c1dd68f96be3e7832566ec0018d833/657c91f295e1151f03258b86004eece2?OpenDocument" TargetMode="External" Id="rId23"/><Relationship Type="http://schemas.openxmlformats.org/officeDocument/2006/relationships/hyperlink" Target="http://alerjln1.alerj.rj.gov.br/scpro2327.nsf/18c1dd68f96be3e7832566ec0018d833/b33ec75fcd3d7ea703258bb700623d66?OpenDocument" TargetMode="External" Id="rId24"/><Relationship Type="http://schemas.openxmlformats.org/officeDocument/2006/relationships/hyperlink" Target="http://alerjln1.alerj.rj.gov.br/scpro2327.nsf/18c1dd68f96be3e7832566ec0018d833/90861bbc834b8f0803258bcc00619c4a?OpenDocument" TargetMode="External" Id="rId25"/><Relationship Type="http://schemas.openxmlformats.org/officeDocument/2006/relationships/hyperlink" Target="http://alerjln1.alerj.rj.gov.br/scpro2327.nsf/18c1dd68f96be3e7832566ec0018d833/e7281c7aacb38b7503258be20064d79c?OpenDocument" TargetMode="External" Id="rId26"/><Relationship Type="http://schemas.openxmlformats.org/officeDocument/2006/relationships/hyperlink" Target="http://alerjln1.alerj.rj.gov.br/scpro2327.nsf/18c1dd68f96be3e7832566ec0018d833/0bc5256d3bcd57d303258a2100591843?OpenDocument" TargetMode="External" Id="rId27"/><Relationship Type="http://schemas.openxmlformats.org/officeDocument/2006/relationships/hyperlink" Target="http://alerjln1.alerj.rj.gov.br/scpro2327.nsf/18c1dd68f96be3e7832566ec0018d833/510b28156847a97003258aca0059d4fd?OpenDocument" TargetMode="External" Id="rId28"/><Relationship Type="http://schemas.openxmlformats.org/officeDocument/2006/relationships/hyperlink" Target="http://alerjln1.alerj.rj.gov.br/scpro2327.nsf/18c1dd68f96be3e7832566ec0018d833/451f328aacd3549b03258b0e005e017c?OpenDocument" TargetMode="External" Id="rId29"/></Relationships>
</file>

<file path=xl/worksheets/_rels/sheet4.xml.rels><Relationships xmlns="http://schemas.openxmlformats.org/package/2006/relationships"><Relationship Type="http://schemas.openxmlformats.org/officeDocument/2006/relationships/hyperlink" Target="http://alerjln1.alerj.rj.gov.br/scpro1115.nsf/18c1dd68f96be3e7832566ec0018d833/fd8008ca19ae2dff83257b72004efe27?OpenDocument" TargetMode="External" Id="rId1"/><Relationship Type="http://schemas.openxmlformats.org/officeDocument/2006/relationships/hyperlink" Target="http://alerjln1.alerj.rj.gov.br/scpro1519.nsf/18c1dd68f96be3e7832566ec0018d833/92cbcc0c4555587383257e19005331c3?OpenDocument" TargetMode="External" Id="rId2"/><Relationship Type="http://schemas.openxmlformats.org/officeDocument/2006/relationships/hyperlink" Target="http://alerjln1.alerj.rj.gov.br/scpro1519.nsf/18c1dd68f96be3e7832566ec0018d833/52ed178cd5713da683257de10047bac1?OpenDocument" TargetMode="External" Id="rId3"/><Relationship Type="http://schemas.openxmlformats.org/officeDocument/2006/relationships/hyperlink" Target="http://alerjln1.alerj.rj.gov.br/scpro1519.nsf/18c1dd68f96be3e7832566ec0018d833/76cafe2d0042e55483258114005c0518?OpenDocument" TargetMode="External" Id="rId4"/><Relationship Type="http://schemas.openxmlformats.org/officeDocument/2006/relationships/hyperlink" Target="http://alerjln1.alerj.rj.gov.br/scpro1519.nsf/18c1dd68f96be3e7832566ec0018d833/93709439f11756f8832580dc00625a03?OpenDocument" TargetMode="External" Id="rId5"/><Relationship Type="http://schemas.openxmlformats.org/officeDocument/2006/relationships/hyperlink" Target="http://alerjln1.alerj.rj.gov.br/scpro1519.nsf/18c1dd68f96be3e7832566ec0018d833/04bc8bb81e187805832581d8005de236?OpenDocument" TargetMode="External" Id="rId6"/><Relationship Type="http://schemas.openxmlformats.org/officeDocument/2006/relationships/hyperlink" Target="http://alerjln1.alerj.rj.gov.br/scpro1519.nsf/18c1dd68f96be3e7832566ec0018d833/de8a19f8cd9c3f88832581e800566296?OpenDocument" TargetMode="External" Id="rId7"/><Relationship Type="http://schemas.openxmlformats.org/officeDocument/2006/relationships/hyperlink" Target="http://alerjln1.alerj.rj.gov.br/scpro1923.nsf/18c1dd68f96be3e7832566ec0018d833/4ae1cb9f13cb16ea832583a80057d23c?OpenDocument" TargetMode="External" Id="rId8"/><Relationship Type="http://schemas.openxmlformats.org/officeDocument/2006/relationships/hyperlink" Target="http://alerjln1.alerj.rj.gov.br/scpro1923.nsf/18c1dd68f96be3e7832566ec0018d833/f2c22c14b58ac38d832583fc00509047?OpenDocument" TargetMode="External" Id="rId9"/><Relationship Type="http://schemas.openxmlformats.org/officeDocument/2006/relationships/hyperlink" Target="http://alerjln1.alerj.rj.gov.br/scpro1923.nsf/18c1dd68f96be3e7832566ec0018d833/38cb7074ed76ba488325842c00637448?OpenDocument" TargetMode="External" Id="rId10"/><Relationship Type="http://schemas.openxmlformats.org/officeDocument/2006/relationships/hyperlink" Target="http://alerjln1.alerj.rj.gov.br/scpro1923.nsf/18c1dd68f96be3e7832566ec0018d833/a7dfac85aa712f7f8325846500647137?OpenDocument" TargetMode="External" Id="rId11"/><Relationship Type="http://schemas.openxmlformats.org/officeDocument/2006/relationships/hyperlink" Target="http://alerjln1.alerj.rj.gov.br/scpro1923.nsf/18c1dd68f96be3e7832566ec0018d833/35cc8d08de71ca5c832584aa0050822c?OpenDocument" TargetMode="External" Id="rId12"/><Relationship Type="http://schemas.openxmlformats.org/officeDocument/2006/relationships/hyperlink" Target="http://alerjln1.alerj.rj.gov.br/scpro1923.nsf/18c1dd68f96be3e7832566ec0018d833/c7ebb0c0d6b2a3c2032585280067d1d3?OpenDocument" TargetMode="External" Id="rId13"/><Relationship Type="http://schemas.openxmlformats.org/officeDocument/2006/relationships/hyperlink" Target="http://alerjln1.alerj.rj.gov.br/scpro1923.nsf/18c1dd68f96be3e7832566ec0018d833/525a1553525813100325853500557e21?OpenDocument" TargetMode="External" Id="rId14"/><Relationship Type="http://schemas.openxmlformats.org/officeDocument/2006/relationships/hyperlink" Target="http://alerjln1.alerj.rj.gov.br/scpro1923.nsf/18c1dd68f96be3e7832566ec0018d833/9c45a6b45aa800b9032585590058143f?OpenDocument" TargetMode="External" Id="rId15"/><Relationship Type="http://schemas.openxmlformats.org/officeDocument/2006/relationships/hyperlink" Target="http://alerjln1.alerj.rj.gov.br/scpro1923.nsf/18c1dd68f96be3e7832566ec0018d833/dd8650c8ce4d42fd03258568005ef548?OpenDocument" TargetMode="External" Id="rId16"/><Relationship Type="http://schemas.openxmlformats.org/officeDocument/2006/relationships/hyperlink" Target="http://alerjln1.alerj.rj.gov.br/scpro1923.nsf/18c1dd68f96be3e7832566ec0018d833/4101e03370bc0e840325856d006b1201?OpenDocument" TargetMode="External" Id="rId17"/><Relationship Type="http://schemas.openxmlformats.org/officeDocument/2006/relationships/hyperlink" Target="http://alerjln1.alerj.rj.gov.br/scpro1923.nsf/18c1dd68f96be3e7832566ec0018d833/f6151b52e871b046032585b5005d729c?OpenDocument" TargetMode="External" Id="rId18"/><Relationship Type="http://schemas.openxmlformats.org/officeDocument/2006/relationships/hyperlink" Target="http://alerjln1.alerj.rj.gov.br/scpro1923.nsf/18c1dd68f96be3e7832566ec0018d833/6238bf1620c9fd71032585fa005c4b27?OpenDocument" TargetMode="External" Id="rId19"/><Relationship Type="http://schemas.openxmlformats.org/officeDocument/2006/relationships/hyperlink" Target="http://alerjln1.alerj.rj.gov.br/scpro1923.nsf/18c1dd68f96be3e7832566ec0018d833/0cdfe7d82eff864e03258607005ebd55?OpenDocument" TargetMode="External" Id="rId20"/><Relationship Type="http://schemas.openxmlformats.org/officeDocument/2006/relationships/hyperlink" Target="http://alerjln1.alerj.rj.gov.br/scpro1923.nsf/18c1dd68f96be3e7832566ec0018d833/0a7e3c3543d688b903258686004f5e05?OpenDocument" TargetMode="External" Id="rId21"/><Relationship Type="http://schemas.openxmlformats.org/officeDocument/2006/relationships/hyperlink" Target="http://alerjln1.alerj.rj.gov.br/scpro1923.nsf/18c1dd68f96be3e7832566ec0018d833/862e6816e766f7700325869c005d6f80?OpenDocument" TargetMode="External" Id="rId22"/><Relationship Type="http://schemas.openxmlformats.org/officeDocument/2006/relationships/hyperlink" Target="http://alerjln1.alerj.rj.gov.br/scpro1923.nsf/18c1dd68f96be3e7832566ec0018d833/d0d33c9fbbe258c70325869c005e57a3?OpenDocument" TargetMode="External" Id="rId23"/><Relationship Type="http://schemas.openxmlformats.org/officeDocument/2006/relationships/hyperlink" Target="http://alerjln1.alerj.rj.gov.br/scpro1923.nsf/18c1dd68f96be3e7832566ec0018d833/05e394a86cb99ab70325874400612d40?OpenDocument" TargetMode="External" Id="rId24"/><Relationship Type="http://schemas.openxmlformats.org/officeDocument/2006/relationships/hyperlink" Target="http://alerjln1.alerj.rj.gov.br/scpro1923.nsf/18c1dd68f96be3e7832566ec0018d833/cdcca2387fa392620325875700552039?OpenDocument" TargetMode="External" Id="rId25"/><Relationship Type="http://schemas.openxmlformats.org/officeDocument/2006/relationships/hyperlink" Target="http://alerjln1.alerj.rj.gov.br/scpro1923.nsf/18c1dd68f96be3e7832566ec0018d833/9f0b8f2ce5241dc40325875f00581c96?OpenDocument" TargetMode="External" Id="rId26"/><Relationship Type="http://schemas.openxmlformats.org/officeDocument/2006/relationships/hyperlink" Target="http://alerjln1.alerj.rj.gov.br/scpro1923.nsf/18c1dd68f96be3e7832566ec0018d833/ccfc657883a4b7900325868d006b61eb?OpenDocument" TargetMode="External" Id="rId27"/><Relationship Type="http://schemas.openxmlformats.org/officeDocument/2006/relationships/hyperlink" Target="http://alerjln1.alerj.rj.gov.br/scpro1923.nsf/18c1dd68f96be3e7832566ec0018d833/19801f35475f2ea9032587e30062f397?OpenDocument" TargetMode="External" Id="rId28"/><Relationship Type="http://schemas.openxmlformats.org/officeDocument/2006/relationships/hyperlink" Target="http://alerjln1.alerj.rj.gov.br/scpro1923.nsf/18c1dd68f96be3e7832566ec0018d833/e5c3f8291b0e568a032587ec005d4b9b?OpenDocument" TargetMode="External" Id="rId29"/><Relationship Type="http://schemas.openxmlformats.org/officeDocument/2006/relationships/hyperlink" Target="http://alerjln1.alerj.rj.gov.br/scpro1923.nsf/18c1dd68f96be3e7832566ec0018d833/919220158275269c03258816006d7fc0?OpenDocument" TargetMode="External" Id="rId30"/><Relationship Type="http://schemas.openxmlformats.org/officeDocument/2006/relationships/hyperlink" Target="http://alerjln1.alerj.rj.gov.br/scpro1923.nsf/18c1dd68f96be3e7832566ec0018d833/6c446c3c7a1e66f30325881b0073335a?OpenDocument" TargetMode="External" Id="rId31"/><Relationship Type="http://schemas.openxmlformats.org/officeDocument/2006/relationships/hyperlink" Target="http://alerjln1.alerj.rj.gov.br/scpro1923.nsf/18c1dd68f96be3e7832566ec0018d833/6649ef365c0a19bd032588520076e100?OpenDocument" TargetMode="External" Id="rId32"/><Relationship Type="http://schemas.openxmlformats.org/officeDocument/2006/relationships/hyperlink" Target="http://alerjln1.alerj.rj.gov.br/scpro1923.nsf/18c1dd68f96be3e7832566ec0018d833/530e3234f10255fc0325887100676e30?OpenDocument" TargetMode="External" Id="rId33"/><Relationship Type="http://schemas.openxmlformats.org/officeDocument/2006/relationships/hyperlink" Target="http://alerjln1.alerj.rj.gov.br/scpro1923.nsf/18c1dd68f96be3e7832566ec0018d833/bf26d1774ec2683b032588da0068fa67?OpenDocument" TargetMode="External" Id="rId34"/><Relationship Type="http://schemas.openxmlformats.org/officeDocument/2006/relationships/hyperlink" Target="http://alerjln1.alerj.rj.gov.br/scpro1923.nsf/18c1dd68f96be3e7832566ec0018d833/ed6117d2392c2768032588df0056cfd2?OpenDocument" TargetMode="External" Id="rId35"/><Relationship Type="http://schemas.openxmlformats.org/officeDocument/2006/relationships/hyperlink" Target="http://alerjln1.alerj.rj.gov.br/scpro2327.nsf/18c1dd68f96be3e7832566ec0018d833/412866a18e9758930325894a00522811?OpenDocument" TargetMode="External" Id="rId36"/><Relationship Type="http://schemas.openxmlformats.org/officeDocument/2006/relationships/hyperlink" Target="http://alerjln1.alerj.rj.gov.br/scpro2327.nsf/18c1dd68f96be3e7832566ec0018d833/ac723f11cd2490ba0325895100543330?OpenDocument" TargetMode="External" Id="rId37"/><Relationship Type="http://schemas.openxmlformats.org/officeDocument/2006/relationships/hyperlink" Target="http://alerjln1.alerj.rj.gov.br/scpro2327.nsf/18c1dd68f96be3e7832566ec0018d833/bf25086a3cb97fd003258963004f1f01?OpenDocument" TargetMode="External" Id="rId38"/><Relationship Type="http://schemas.openxmlformats.org/officeDocument/2006/relationships/hyperlink" Target="http://alerjln1.alerj.rj.gov.br/scpro2327.nsf/18c1dd68f96be3e7832566ec0018d833/a3ca7663ff7912d10325897000686e09?OpenDocument" TargetMode="External" Id="rId39"/><Relationship Type="http://schemas.openxmlformats.org/officeDocument/2006/relationships/hyperlink" Target="http://alerjln1.alerj.rj.gov.br/scpro2327.nsf/18c1dd68f96be3e7832566ec0018d833/d2bd6649a580229d0325897300693449?OpenDocument" TargetMode="External" Id="rId40"/><Relationship Type="http://schemas.openxmlformats.org/officeDocument/2006/relationships/hyperlink" Target="http://alerjln1.alerj.rj.gov.br/scpro2327.nsf/18c1dd68f96be3e7832566ec0018d833/0f683e39c32f7b2003258988005cfbb1?OpenDocument" TargetMode="External" Id="rId41"/><Relationship Type="http://schemas.openxmlformats.org/officeDocument/2006/relationships/hyperlink" Target="http://alerjln1.alerj.rj.gov.br/scpro2327.nsf/18c1dd68f96be3e7832566ec0018d833/241daa70a09e5e4003258988005df341?OpenDocument" TargetMode="External" Id="rId42"/><Relationship Type="http://schemas.openxmlformats.org/officeDocument/2006/relationships/hyperlink" Target="http://alerjln1.alerj.rj.gov.br/scpro2327.nsf/18c1dd68f96be3e7832566ec0018d833/9df47d85772b21590325898100509ab0?OpenDocument" TargetMode="External" Id="rId43"/><Relationship Type="http://schemas.openxmlformats.org/officeDocument/2006/relationships/hyperlink" Target="http://alerjln1.alerj.rj.gov.br/scpro2327.nsf/18c1dd68f96be3e7832566ec0018d833/2a00b9407ca3aded032589950061cece?OpenDocument" TargetMode="External" Id="rId44"/><Relationship Type="http://schemas.openxmlformats.org/officeDocument/2006/relationships/hyperlink" Target="http://alerjln1.alerj.rj.gov.br/scpro2327.nsf/18c1dd68f96be3e7832566ec0018d833/9bc1c5aef429d91e0325899d0065db97?OpenDocument" TargetMode="External" Id="rId45"/><Relationship Type="http://schemas.openxmlformats.org/officeDocument/2006/relationships/hyperlink" Target="http://alerjln1.alerj.rj.gov.br/scpro2327.nsf/18c1dd68f96be3e7832566ec0018d833/87218c54344a0d24032589a4005c44b3?OpenDocument" TargetMode="External" Id="rId46"/><Relationship Type="http://schemas.openxmlformats.org/officeDocument/2006/relationships/hyperlink" Target="http://alerjln1.alerj.rj.gov.br/scpro2327.nsf/18c1dd68f96be3e7832566ec0018d833/0403a811b0387d47032589bf0057c049?OpenDocument" TargetMode="External" Id="rId47"/><Relationship Type="http://schemas.openxmlformats.org/officeDocument/2006/relationships/hyperlink" Target="http://alerjln1.alerj.rj.gov.br/scpro2327.nsf/18c1dd68f96be3e7832566ec0018d833/e323e5add6ceb07c032589c6005d5c25?OpenDocument" TargetMode="External" Id="rId48"/><Relationship Type="http://schemas.openxmlformats.org/officeDocument/2006/relationships/hyperlink" Target="http://alerjln1.alerj.rj.gov.br/scpro2327.nsf/18c1dd68f96be3e7832566ec0018d833/a64fb64a238658e0032589dc0068fdb0?OpenDocument" TargetMode="External" Id="rId49"/><Relationship Type="http://schemas.openxmlformats.org/officeDocument/2006/relationships/hyperlink" Target="http://alerjln1.alerj.rj.gov.br/scpro2327.nsf/18c1dd68f96be3e7832566ec0018d833/59f5f737f012d01a03258a0000617940?OpenDocument" TargetMode="External" Id="rId50"/><Relationship Type="http://schemas.openxmlformats.org/officeDocument/2006/relationships/hyperlink" Target="http://alerjln1.alerj.rj.gov.br/scpro2327.nsf/18c1dd68f96be3e7832566ec0018d833/80f984270a04400903258a06005df01c?OpenDocument" TargetMode="External" Id="rId51"/><Relationship Type="http://schemas.openxmlformats.org/officeDocument/2006/relationships/hyperlink" Target="http://alerjln1.alerj.rj.gov.br/scpro2327.nsf/18c1dd68f96be3e7832566ec0018d833/18d7a30bea839ed503258a0e0061d9f6?OpenDocument" TargetMode="External" Id="rId52"/><Relationship Type="http://schemas.openxmlformats.org/officeDocument/2006/relationships/hyperlink" Target="http://alerjln1.alerj.rj.gov.br/scpro2327.nsf/18c1dd68f96be3e7832566ec0018d833/f6e3f3753a5cc9b003258a1a00575adb?OpenDocument" TargetMode="External" Id="rId53"/><Relationship Type="http://schemas.openxmlformats.org/officeDocument/2006/relationships/hyperlink" Target="http://alerjln1.alerj.rj.gov.br/scpro2327.nsf/18c1dd68f96be3e7832566ec0018d833/ad9dcd52bf6182b203258a1d00667c0a?OpenDocument" TargetMode="External" Id="rId54"/><Relationship Type="http://schemas.openxmlformats.org/officeDocument/2006/relationships/hyperlink" Target="http://alerjln1.alerj.rj.gov.br/scpro2327.nsf/18c1dd68f96be3e7832566ec0018d833/519e1d3dcda88a6403258a2f0056a5bc?OpenDocument" TargetMode="External" Id="rId55"/><Relationship Type="http://schemas.openxmlformats.org/officeDocument/2006/relationships/hyperlink" Target="http://alerjln1.alerj.rj.gov.br/scpro2327.nsf/18c1dd68f96be3e7832566ec0018d833/a78253b4759fb00c03258a3500677ec2?OpenDocument" TargetMode="External" Id="rId56"/><Relationship Type="http://schemas.openxmlformats.org/officeDocument/2006/relationships/hyperlink" Target="http://alerjln1.alerj.rj.gov.br/scpro2327.nsf/18c1dd68f96be3e7832566ec0018d833/657b9326dfe407ed03258a3d004bb0ab?OpenDocument" TargetMode="External" Id="rId57"/><Relationship Type="http://schemas.openxmlformats.org/officeDocument/2006/relationships/hyperlink" Target="http://alerjln1.alerj.rj.gov.br/scpro2327.nsf/18c1dd68f96be3e7832566ec0018d833/fabab851eca1fe2d03258a44005a4ba9?OpenDocument" TargetMode="External" Id="rId58"/><Relationship Type="http://schemas.openxmlformats.org/officeDocument/2006/relationships/hyperlink" Target="http://alerjln1.alerj.rj.gov.br/scpro2327.nsf/18c1dd68f96be3e7832566ec0018d833/4698fb502c1b7d0a03258a67005fbd71?OpenDocument" TargetMode="External" Id="rId59"/><Relationship Type="http://schemas.openxmlformats.org/officeDocument/2006/relationships/hyperlink" Target="http://alerjln1.alerj.rj.gov.br/scpro2327.nsf/18c1dd68f96be3e7832566ec0018d833/d73a98bc545f9e4d03258a66006f5443?OpenDocument" TargetMode="External" Id="rId60"/><Relationship Type="http://schemas.openxmlformats.org/officeDocument/2006/relationships/hyperlink" Target="http://alerjln1.alerj.rj.gov.br/scpro2327.nsf/18c1dd68f96be3e7832566ec0018d833/b3e263ac03c6119103258a750051237b?OpenDocument" TargetMode="External" Id="rId61"/><Relationship Type="http://schemas.openxmlformats.org/officeDocument/2006/relationships/hyperlink" Target="http://alerjln1.alerj.rj.gov.br/scpro2327.nsf/18c1dd68f96be3e7832566ec0018d833/1a3465ca0091c7ce03258a840067a3cd?OpenDocument" TargetMode="External" Id="rId62"/><Relationship Type="http://schemas.openxmlformats.org/officeDocument/2006/relationships/hyperlink" Target="http://alerjln1.alerj.rj.gov.br/scpro2327.nsf/18c1dd68f96be3e7832566ec0018d833/54be4d212e97492303258a85006126b7?OpenDocument" TargetMode="External" Id="rId63"/><Relationship Type="http://schemas.openxmlformats.org/officeDocument/2006/relationships/hyperlink" Target="http://alerjln1.alerj.rj.gov.br/scpro2327.nsf/18c1dd68f96be3e7832566ec0018d833/b727f287d86a9a7c03258aba00508182?OpenDocument" TargetMode="External" Id="rId64"/><Relationship Type="http://schemas.openxmlformats.org/officeDocument/2006/relationships/hyperlink" Target="http://alerjln1.alerj.rj.gov.br/scpro2327.nsf/18c1dd68f96be3e7832566ec0018d833/8707322f3beb2b4f03258aba006117f7?OpenDocument" TargetMode="External" Id="rId65"/><Relationship Type="http://schemas.openxmlformats.org/officeDocument/2006/relationships/hyperlink" Target="http://alerjln1.alerj.rj.gov.br/scpro2327.nsf/18c1dd68f96be3e7832566ec0018d833/0db4acb886ee2c8903258b0a005ec7f9?OpenDocument" TargetMode="External" Id="rId66"/><Relationship Type="http://schemas.openxmlformats.org/officeDocument/2006/relationships/hyperlink" Target="http://alerjln1.alerj.rj.gov.br/scpro2327.nsf/18c1dd68f96be3e7832566ec0018d833/7ecb2831ebaf6ec303258b19005de233?OpenDocument" TargetMode="External" Id="rId67"/><Relationship Type="http://schemas.openxmlformats.org/officeDocument/2006/relationships/hyperlink" Target="http://alerjln1.alerj.rj.gov.br/scpro2327.nsf/18c1dd68f96be3e7832566ec0018d833/cace9f546304c71c03258b340044f3df?OpenDocument" TargetMode="External" Id="rId68"/><Relationship Type="http://schemas.openxmlformats.org/officeDocument/2006/relationships/hyperlink" Target="http://alerjln1.alerj.rj.gov.br/scpro2327.nsf/18c1dd68f96be3e7832566ec0018d833/0026df99465aa1eb03258b8d0053284c?OpenDocument" TargetMode="External" Id="rId69"/><Relationship Type="http://schemas.openxmlformats.org/officeDocument/2006/relationships/hyperlink" Target="http://alerjln1.alerj.rj.gov.br/scpro2327.nsf/18c1dd68f96be3e7832566ec0018d833/1e2ae9c22189fcfc03258ba20054af25?OpenDocument" TargetMode="External" Id="rId70"/><Relationship Type="http://schemas.openxmlformats.org/officeDocument/2006/relationships/hyperlink" Target="http://alerjln1.alerj.rj.gov.br/scpro2327.nsf/18c1dd68f96be3e7832566ec0018d833/9e03d8abfc9243e103258bc7004a3c9f?OpenDocument" TargetMode="External" Id="rId71"/><Relationship Type="http://schemas.openxmlformats.org/officeDocument/2006/relationships/hyperlink" Target="http://alerjln1.alerj.rj.gov.br/scpro2327.nsf/18c1dd68f96be3e7832566ec0018d833/8a088bc4e89c91ed03258be0007017a3?OpenDocument" TargetMode="External" Id="rId72"/><Relationship Type="http://schemas.openxmlformats.org/officeDocument/2006/relationships/hyperlink" Target="http://alerjln1.alerj.rj.gov.br/scpro2327.nsf/18c1dd68f96be3e7832566ec0018d833/8f85b8eebd67d65403258be9006bc24a?OpenDocument" TargetMode="External" Id="rId73"/><Relationship Type="http://schemas.openxmlformats.org/officeDocument/2006/relationships/hyperlink" Target="http://alerjln1.alerj.rj.gov.br/scpro2327.nsf/18c1dd68f96be3e7832566ec0018d833/07541004378d38de03258c3400700a08?OpenDocument" TargetMode="External" Id="rId74"/><Relationship Type="http://schemas.openxmlformats.org/officeDocument/2006/relationships/hyperlink" Target="http://alerjln1.alerj.rj.gov.br/scpro2327.nsf/18c1dd68f96be3e7832566ec0018d833/cc1858b0ce09c98003258c49005e8d4d?OpenDocument" TargetMode="External" Id="rId75"/><Relationship Type="http://schemas.openxmlformats.org/officeDocument/2006/relationships/hyperlink" Target="http://alerjln1.alerj.rj.gov.br/scpro2327.nsf/18c1dd68f96be3e7832566ec0018d833/8c2bf56280feece703258c51006cbfe2?OpenDocument" TargetMode="External" Id="rId76"/><Relationship Type="http://schemas.openxmlformats.org/officeDocument/2006/relationships/hyperlink" Target="http://alerjln1.alerj.rj.gov.br/scpro2327.nsf/18c1dd68f96be3e7832566ec0018d833/cd1c1d07c5cb847903258ad900490c91?OpenDocument" TargetMode="External" Id="rId77"/><Relationship Type="http://schemas.openxmlformats.org/officeDocument/2006/relationships/hyperlink" Target="http://alerjln1.alerj.rj.gov.br/scpro2327.nsf/18c1dd68f96be3e7832566ec0018d833/7737cf3e88b314bc03258d0d007084b5?OpenDocument" TargetMode="External" Id="rId78"/></Relationships>
</file>

<file path=xl/worksheets/_rels/sheet8.xml.rels><Relationships xmlns="http://schemas.openxmlformats.org/package/2006/relationships"><Relationship Type="http://schemas.openxmlformats.org/officeDocument/2006/relationships/hyperlink" Target="http://alerjln1.alerj.rj.gov.br/scpro2327.nsf/Internet/LeiInt?OpenForm&amp;Count=999&amp;ResortAscending=1?ID=20250305667" TargetMode="External" Id="rId1"/><Relationship Type="http://schemas.openxmlformats.org/officeDocument/2006/relationships/hyperlink" Target="https://www.computersciencemaster.com.br/como-executar-codigo-python-dentro-do-excel/" TargetMode="External" Id="rId2"/></Relationships>
</file>

<file path=xl/worksheets/sheet1.xml><?xml version="1.0" encoding="utf-8"?>
<worksheet xmlns="http://schemas.openxmlformats.org/spreadsheetml/2006/main">
  <sheetPr codeName="Planilha6">
    <tabColor rgb="FFFFFF00"/>
    <outlinePr summaryBelow="1" summaryRight="1"/>
    <pageSetUpPr/>
  </sheetPr>
  <dimension ref="A1:B17"/>
  <sheetViews>
    <sheetView workbookViewId="0">
      <selection activeCell="H437" sqref="H437"/>
    </sheetView>
  </sheetViews>
  <sheetFormatPr baseColWidth="8" defaultRowHeight="15"/>
  <cols>
    <col width="26.5703125" bestFit="1" customWidth="1" style="79" min="1" max="1"/>
    <col width="15.140625" bestFit="1" customWidth="1" style="79" min="2" max="2"/>
    <col width="41.42578125" bestFit="1" customWidth="1" style="79" min="3" max="15"/>
    <col width="10.7109375" bestFit="1" customWidth="1" style="79" min="16" max="16"/>
  </cols>
  <sheetData>
    <row r="1">
      <c r="A1" s="32" t="inlineStr">
        <is>
          <t>TIPO</t>
        </is>
      </c>
      <c r="B1" t="inlineStr">
        <is>
          <t>(Tudo)</t>
        </is>
      </c>
    </row>
    <row r="2">
      <c r="A2" s="32" t="inlineStr">
        <is>
          <t>PARECER</t>
        </is>
      </c>
      <c r="B2" t="inlineStr">
        <is>
          <t>(vazio)</t>
        </is>
      </c>
    </row>
    <row r="3">
      <c r="A3" s="32" t="inlineStr">
        <is>
          <t>NA COMISSÃO</t>
        </is>
      </c>
      <c r="B3" t="inlineStr">
        <is>
          <t>(Vários itens)</t>
        </is>
      </c>
    </row>
    <row r="5">
      <c r="A5" s="32" t="inlineStr">
        <is>
          <t>RELATORES</t>
        </is>
      </c>
      <c r="B5" s="48" t="inlineStr">
        <is>
          <t>RELATORIAS</t>
        </is>
      </c>
    </row>
    <row r="6">
      <c r="A6" s="33" t="inlineStr">
        <is>
          <t>ALEXANDRE KNOPLOCH</t>
        </is>
      </c>
      <c r="B6" t="n">
        <v>15</v>
      </c>
    </row>
    <row r="7">
      <c r="A7" s="33" t="inlineStr">
        <is>
          <t>ANDRÉ CORRÊA</t>
        </is>
      </c>
      <c r="B7" t="n">
        <v>9</v>
      </c>
    </row>
    <row r="8">
      <c r="A8" s="33" t="inlineStr">
        <is>
          <t>CARLOS MACEDO</t>
        </is>
      </c>
      <c r="B8" t="n">
        <v>22</v>
      </c>
    </row>
    <row r="9">
      <c r="A9" s="33" t="inlineStr">
        <is>
          <t>RENATO MIRANDA</t>
        </is>
      </c>
      <c r="B9" t="n">
        <v>8</v>
      </c>
    </row>
    <row r="10">
      <c r="A10" s="33" t="inlineStr">
        <is>
          <t>ZEIDAN</t>
        </is>
      </c>
      <c r="B10" t="n">
        <v>18</v>
      </c>
    </row>
    <row r="11">
      <c r="A11" s="33" t="inlineStr">
        <is>
          <t>(vazio)</t>
        </is>
      </c>
    </row>
    <row r="12">
      <c r="A12" s="33" t="inlineStr">
        <is>
          <t>GT</t>
        </is>
      </c>
      <c r="B12" t="n">
        <v>1</v>
      </c>
    </row>
    <row r="13">
      <c r="A13" s="33" t="inlineStr">
        <is>
          <t>BRUNO DAUAIRE</t>
        </is>
      </c>
      <c r="B13" t="n">
        <v>6</v>
      </c>
    </row>
    <row r="14">
      <c r="A14" s="33" t="inlineStr">
        <is>
          <t>ANDERSON MORAES</t>
        </is>
      </c>
      <c r="B14" t="n">
        <v>9</v>
      </c>
    </row>
    <row r="15">
      <c r="A15" s="33" t="inlineStr">
        <is>
          <t>GUSTAVO TUTUCA</t>
        </is>
      </c>
      <c r="B15" t="n">
        <v>12</v>
      </c>
    </row>
    <row r="16">
      <c r="A16" s="33" t="inlineStr">
        <is>
          <t>NÃO ACHEI AQUI NA SALA!!!</t>
        </is>
      </c>
      <c r="B16" t="n">
        <v>2</v>
      </c>
    </row>
    <row r="17">
      <c r="A17" s="33" t="inlineStr">
        <is>
          <t>Total Geral</t>
        </is>
      </c>
      <c r="B17" t="n">
        <v>102</v>
      </c>
    </row>
  </sheetData>
  <pageMargins left="0.511811024" right="0.511811024" top="0.787401575" bottom="0.787401575" header="0.31496062" footer="0.31496062"/>
  <pageSetup orientation="portrait" paperSize="9"/>
</worksheet>
</file>

<file path=xl/worksheets/sheet2.xml><?xml version="1.0" encoding="utf-8"?>
<worksheet xmlns="http://schemas.openxmlformats.org/spreadsheetml/2006/main">
  <sheetPr codeName="Planilha1">
    <tabColor theme="9" tint="-0.249977111117893"/>
    <outlinePr summaryBelow="1" summaryRight="1"/>
    <pageSetUpPr fitToPage="1"/>
  </sheetPr>
  <dimension ref="A1:X520"/>
  <sheetViews>
    <sheetView tabSelected="1" zoomScale="80" zoomScaleNormal="80" workbookViewId="0">
      <pane ySplit="1" topLeftCell="A446" activePane="bottomLeft" state="frozen"/>
      <selection pane="bottomLeft" activeCell="I452" sqref="I452"/>
    </sheetView>
  </sheetViews>
  <sheetFormatPr baseColWidth="8" defaultRowHeight="15"/>
  <cols>
    <col width="14.28515625" customWidth="1" style="5" min="1" max="1"/>
    <col width="5.28515625" customWidth="1" style="6" min="2" max="2"/>
    <col width="15" bestFit="1" customWidth="1" style="5" min="3" max="3"/>
    <col width="50" customWidth="1" style="5" min="4" max="4"/>
    <col width="25.5703125" customWidth="1" style="5" min="5" max="5"/>
    <col width="23.140625" customWidth="1" style="5" min="6" max="6"/>
    <col width="19.5703125" customWidth="1" style="11" min="7" max="7"/>
    <col width="12.7109375" customWidth="1" style="11" min="8" max="8"/>
    <col width="13.85546875" bestFit="1" customWidth="1" style="6" min="9" max="9"/>
    <col width="12.7109375" customWidth="1" style="6" min="10" max="10"/>
    <col width="15.5703125" customWidth="1" style="6" min="11" max="11"/>
    <col width="19.140625" bestFit="1" customWidth="1" style="6" min="12" max="12"/>
    <col width="16.5703125" customWidth="1" style="6" min="13" max="16"/>
    <col width="16.5703125" bestFit="1" customWidth="1" style="16" min="17" max="17"/>
    <col width="35.7109375" customWidth="1" style="5" min="18" max="18"/>
    <col width="13.42578125" customWidth="1" style="6" min="19" max="19"/>
    <col width="12.28515625" customWidth="1" style="6" min="20" max="20"/>
    <col width="10.85546875" bestFit="1" customWidth="1" style="8" min="21" max="21"/>
    <col width="56.85546875" customWidth="1" style="1" min="22" max="22"/>
    <col width="9.140625" customWidth="1" style="1" min="23" max="16384"/>
  </cols>
  <sheetData>
    <row r="1" ht="42.75" customHeight="1" s="79">
      <c r="A1" s="27" t="inlineStr">
        <is>
          <t>TIPO</t>
        </is>
      </c>
      <c r="B1" s="28" t="inlineStr">
        <is>
          <t>ORD</t>
        </is>
      </c>
      <c r="C1" s="27" t="inlineStr">
        <is>
          <t>Nº PL</t>
        </is>
      </c>
      <c r="D1" s="27" t="inlineStr">
        <is>
          <t>EMENTA</t>
        </is>
      </c>
      <c r="E1" s="27" t="inlineStr">
        <is>
          <t>AUTOR</t>
        </is>
      </c>
      <c r="F1" s="46" t="inlineStr">
        <is>
          <t>RELATOR</t>
        </is>
      </c>
      <c r="G1" s="46" t="inlineStr">
        <is>
          <t>PARECER</t>
        </is>
      </c>
      <c r="H1" s="46" t="inlineStr">
        <is>
          <t>DATA PARECER D.O.</t>
        </is>
      </c>
      <c r="I1" s="47" t="inlineStr">
        <is>
          <t>REUNIÃO</t>
        </is>
      </c>
      <c r="J1" s="42" t="inlineStr">
        <is>
          <t>DATA
ENTRADA</t>
        </is>
      </c>
      <c r="K1" s="42" t="inlineStr">
        <is>
          <t>DATA
RELATORIA</t>
        </is>
      </c>
      <c r="L1" s="42" t="inlineStr">
        <is>
          <t>DATA DEVOL. RELATORIA</t>
        </is>
      </c>
      <c r="M1" s="42" t="inlineStr">
        <is>
          <t>DATA SAÍDA
DA COMISS</t>
        </is>
      </c>
      <c r="N1" s="49" t="inlineStr">
        <is>
          <t>RELATOR DA VISTA</t>
        </is>
      </c>
      <c r="O1" s="49" t="inlineStr">
        <is>
          <t>PARECER EM SEPARADO</t>
        </is>
      </c>
      <c r="P1" s="49" t="inlineStr">
        <is>
          <t>DT DEVOLUÇÃO VISTA</t>
        </is>
      </c>
      <c r="Q1" s="41" t="inlineStr">
        <is>
          <t>NA COMISSÃO</t>
        </is>
      </c>
      <c r="R1" s="29" t="inlineStr">
        <is>
          <t>OBSERVAÇÕES</t>
        </is>
      </c>
      <c r="S1" s="29" t="inlineStr">
        <is>
          <t>PL APENSADO
PAI</t>
        </is>
      </c>
      <c r="T1" s="31" t="inlineStr">
        <is>
          <t>PARECER
NOTES</t>
        </is>
      </c>
      <c r="U1" s="30" t="inlineStr">
        <is>
          <t>LEI Nº</t>
        </is>
      </c>
      <c r="V1" s="30" t="inlineStr">
        <is>
          <t>LINK</t>
        </is>
      </c>
      <c r="W1" s="30" t="inlineStr">
        <is>
          <t>ANO</t>
        </is>
      </c>
      <c r="X1" s="30" t="inlineStr">
        <is>
          <t>NUM</t>
        </is>
      </c>
    </row>
    <row r="2" ht="60" customHeight="1" s="79">
      <c r="A2" s="2" t="inlineStr">
        <is>
          <t>Projeto Lei</t>
        </is>
      </c>
      <c r="B2" s="4">
        <f>RIGHT(C2,4)</f>
        <v/>
      </c>
      <c r="C2" s="73" t="inlineStr">
        <is>
          <t>4350/2021</t>
        </is>
      </c>
      <c r="D2" s="2" t="inlineStr">
        <is>
          <t>DETERMINA QUE O AGRESSOR DE ANIMAIS ARQUE COM AS DESPESAS PÚBLICAS QUE ENVOLVAM OS ANIMAIS VÍTIMAS DE MAUS TRATOS NO ÂMBITO DO ESTADO DO RIO DE JANEIRO.</t>
        </is>
      </c>
      <c r="E2" s="2" t="inlineStr">
        <is>
          <t>CHICO MACHADO</t>
        </is>
      </c>
      <c r="F2" s="18" t="inlineStr">
        <is>
          <t>ANDRÉ CORRÊA</t>
        </is>
      </c>
      <c r="G2" s="10" t="inlineStr">
        <is>
          <t>Sim</t>
        </is>
      </c>
      <c r="H2" s="37" t="inlineStr">
        <is>
          <t>Sim</t>
        </is>
      </c>
      <c r="I2" s="14" t="inlineStr">
        <is>
          <t>4ªRE
11/06/2025</t>
        </is>
      </c>
      <c r="J2" s="9" t="n"/>
      <c r="K2" s="9" t="n"/>
      <c r="L2" s="9" t="n"/>
      <c r="M2" s="9" t="n"/>
      <c r="N2" s="9" t="n"/>
      <c r="O2" s="9" t="n"/>
      <c r="P2" s="9" t="n"/>
      <c r="Q2" s="4" t="inlineStr">
        <is>
          <t>Não</t>
        </is>
      </c>
      <c r="R2" s="13" t="n"/>
      <c r="S2" s="4" t="n"/>
      <c r="T2" s="4" t="n"/>
      <c r="U2" s="7" t="n"/>
      <c r="V2" s="3" t="inlineStr">
        <is>
          <t>http://alerjln1.alerj.rj.gov.br/scpro1923.nsf/18c1dd68f96be3e7832566ec0018d833/c3ab1fe3efa96fc5032586f500419f82?OpenDocument</t>
        </is>
      </c>
      <c r="W2" s="3">
        <f>RIGHT(C2, 4)</f>
        <v/>
      </c>
      <c r="X2" s="3">
        <f>LEFT(C2, LEN(C2) - 5)</f>
        <v/>
      </c>
    </row>
    <row r="3" ht="60" customHeight="1" s="79">
      <c r="A3" s="2" t="inlineStr">
        <is>
          <t>Projeto Lei</t>
        </is>
      </c>
      <c r="B3" s="4">
        <f>RIGHT(C3,4)</f>
        <v/>
      </c>
      <c r="C3" s="73" t="inlineStr">
        <is>
          <t>39/2019</t>
        </is>
      </c>
      <c r="D3" s="2" t="inlineStr">
        <is>
          <t>DISPÕE SOBRE A AFIXAÇÃO DE CARTAZES NAS UNIDADES DE SAÚDE INFORMANDO A COMUNICAÇÃO COMPULSÓRIA ÀS AUTORIDADES COMPETENTES DE CRIMES DE AÇÃO PÚBLICA NA FORMA QUE MENCIONA</t>
        </is>
      </c>
      <c r="E3" s="2" t="inlineStr">
        <is>
          <t>MÁRCIO CANELLA</t>
        </is>
      </c>
      <c r="F3" s="18" t="inlineStr">
        <is>
          <t>ANDRÉ CORRÊA</t>
        </is>
      </c>
      <c r="G3" s="10" t="inlineStr">
        <is>
          <t>Sim</t>
        </is>
      </c>
      <c r="H3" s="37" t="n"/>
      <c r="I3" s="14" t="inlineStr">
        <is>
          <t>2ªRE
29/04/2025</t>
        </is>
      </c>
      <c r="J3" s="9" t="n"/>
      <c r="K3" s="9" t="n"/>
      <c r="L3" s="9" t="n"/>
      <c r="M3" s="9" t="n"/>
      <c r="N3" s="9" t="n"/>
      <c r="O3" s="9" t="n"/>
      <c r="P3" s="9" t="n"/>
      <c r="Q3" s="4" t="inlineStr">
        <is>
          <t>Não</t>
        </is>
      </c>
      <c r="R3" s="13" t="n"/>
      <c r="S3" s="4" t="n"/>
      <c r="T3" s="4" t="n"/>
      <c r="U3" s="7" t="n"/>
      <c r="V3" s="3" t="inlineStr">
        <is>
          <t>http://alerjln1.alerj.rj.gov.br/scpro1923.nsf/18c1dd68f96be3e7832566ec0018d833/36b7eb5ee065eaa18325839a004f8b1f?OpenDocument</t>
        </is>
      </c>
      <c r="W3" s="3">
        <f>RIGHT(C3, 4)</f>
        <v/>
      </c>
      <c r="X3" s="3">
        <f>LEFT(C3, LEN(C3) - 5)</f>
        <v/>
      </c>
    </row>
    <row r="4" ht="90" customHeight="1" s="79">
      <c r="A4" s="2" t="inlineStr">
        <is>
          <t>Projeto Lei</t>
        </is>
      </c>
      <c r="B4" s="4">
        <f>RIGHT(C4,4)</f>
        <v/>
      </c>
      <c r="C4" s="73" t="inlineStr">
        <is>
          <t>138/2023</t>
        </is>
      </c>
      <c r="D4" s="2" t="inlineStr">
        <is>
          <t>TORNA OBRIGATÓRIA A INFORMAÇÃO SOBRE O USO DE MODIFICAÇÃO DIGITAL DE IMAGEM REFERENTE AS CARACTERISTICAS FISICAS DA PESSOA, BEM COMO DE PRODUTOS E SERVIÇOS, EM PEÇAS PUBLICITARIAS OU PUBLICADAS EM VEICULOS DE COMUNICAÇÃO  NO ESTADO DO RIO DE JANEIRO</t>
        </is>
      </c>
      <c r="E4" s="2" t="inlineStr">
        <is>
          <t>MÁRCIO CANELLA</t>
        </is>
      </c>
      <c r="F4" s="18" t="inlineStr">
        <is>
          <t>VINICIUS COZZOLINO</t>
        </is>
      </c>
      <c r="G4" s="10" t="inlineStr">
        <is>
          <t>Sim</t>
        </is>
      </c>
      <c r="H4" s="37" t="n"/>
      <c r="I4" s="14" t="inlineStr">
        <is>
          <t>2ªRE
29/04/2025</t>
        </is>
      </c>
      <c r="J4" s="4" t="n"/>
      <c r="K4" s="9" t="n"/>
      <c r="L4" s="9" t="n"/>
      <c r="M4" s="9" t="n"/>
      <c r="N4" s="9" t="n"/>
      <c r="O4" s="9" t="n"/>
      <c r="P4" s="9" t="n"/>
      <c r="Q4" s="4" t="inlineStr">
        <is>
          <t>Não</t>
        </is>
      </c>
      <c r="R4" s="13" t="n"/>
      <c r="S4" s="4" t="n"/>
      <c r="T4" s="4" t="n"/>
      <c r="U4" s="7" t="n"/>
      <c r="V4" s="3" t="inlineStr">
        <is>
          <t>http://alerjln1.alerj.rj.gov.br/scpro2327.nsf/18c1dd68f96be3e7832566ec0018d833/37abbaa7aa17260b0325894a00534738?OpenDocument</t>
        </is>
      </c>
      <c r="W4" s="3">
        <f>RIGHT(C4, 4)</f>
        <v/>
      </c>
      <c r="X4" s="3">
        <f>LEFT(C4, LEN(C4) - 5)</f>
        <v/>
      </c>
    </row>
    <row r="5" ht="75" customHeight="1" s="79">
      <c r="A5" s="2" t="inlineStr">
        <is>
          <t>Projeto Lei</t>
        </is>
      </c>
      <c r="B5" s="4">
        <f>RIGHT(C5,4)</f>
        <v/>
      </c>
      <c r="C5" s="73" t="inlineStr">
        <is>
          <t>5728/2022</t>
        </is>
      </c>
      <c r="D5" s="20" t="inlineStr">
        <is>
          <t>FICA REVOGADA A LEI N.º 9.277 DE 18 DE MAIO DE 2021, QUE DISPÕE SOBRE AS GARANTIAS CONSTITUCIONAIS NO AMBIENTE ESCOLAR DAS REDES DE ENSINO PÚBLICA E PRIVADA DO ESTADO DO RIO DE JANEIRO.</t>
        </is>
      </c>
      <c r="E5" s="20" t="inlineStr">
        <is>
          <t>RODRIGO AMORIM</t>
        </is>
      </c>
      <c r="F5" s="18" t="inlineStr">
        <is>
          <t>VINICIUS COZZOLINO</t>
        </is>
      </c>
      <c r="G5" s="21" t="inlineStr">
        <is>
          <t>FAVORÁVEL COM EMENDAS</t>
        </is>
      </c>
      <c r="H5" s="38" t="inlineStr">
        <is>
          <t>18/09/2025</t>
        </is>
      </c>
      <c r="I5" s="14" t="inlineStr">
        <is>
          <t>6ªRE
02/09/2025</t>
        </is>
      </c>
      <c r="J5" s="22" t="n">
        <v>45902</v>
      </c>
      <c r="K5" s="22" t="n"/>
      <c r="L5" s="22" t="n"/>
      <c r="M5" s="19" t="n"/>
      <c r="N5" s="19" t="n"/>
      <c r="O5" s="19" t="n"/>
      <c r="P5" s="19" t="n"/>
      <c r="Q5" s="19" t="inlineStr">
        <is>
          <t>Não</t>
        </is>
      </c>
      <c r="R5" s="20" t="inlineStr">
        <is>
          <t>POSSÚI APENSOS</t>
        </is>
      </c>
      <c r="S5" s="19" t="n"/>
      <c r="T5" s="19" t="n"/>
      <c r="U5" s="23" t="n"/>
      <c r="V5" s="3" t="inlineStr">
        <is>
          <t>&lt;a href='http://alerjln1.alerj.rj.gov.br/scpro1923.nsf/18c1dd68f96be3e7832566ec0018d833/e315fe8a50a3029a032588160070c2c2?OpenDocument'&gt; LINK&lt;/a&gt;</t>
        </is>
      </c>
      <c r="W5" s="3">
        <f>RIGHT(C5, 4)</f>
        <v/>
      </c>
      <c r="X5" s="3">
        <f>LEFT(C5, LEN(C5) - 5)</f>
        <v/>
      </c>
    </row>
    <row r="6" ht="75" customHeight="1" s="79">
      <c r="A6" s="2" t="inlineStr">
        <is>
          <t>Projeto Lei</t>
        </is>
      </c>
      <c r="B6" s="4">
        <f>RIGHT(C6,4)</f>
        <v/>
      </c>
      <c r="C6" s="73" t="inlineStr">
        <is>
          <t>3606/2024</t>
        </is>
      </c>
      <c r="D6" s="20" t="inlineStr">
        <is>
          <t>INSTITUI A POLÍTICA DE PREVENÇÃO ÀS AMPUTAÇÕES EM PESSOAS PORTADORES DE DIABETES E DÁ OUTRAS PROVIDÊNCIAS</t>
        </is>
      </c>
      <c r="E6" s="20" t="inlineStr">
        <is>
          <t>DR. PEDRO RICARDO</t>
        </is>
      </c>
      <c r="F6" s="18" t="inlineStr">
        <is>
          <t>RENATO MIRANDA</t>
        </is>
      </c>
      <c r="G6" s="21" t="inlineStr">
        <is>
          <t>FAVORÁVEL COM AS EMENDAS DA COMISSÃO DE CONSTITUIÇÃO E JUSTIÇA</t>
        </is>
      </c>
      <c r="H6" s="38" t="inlineStr">
        <is>
          <t>19/09/2025</t>
        </is>
      </c>
      <c r="I6" s="14" t="inlineStr">
        <is>
          <t>6ªRE
02/09/2025</t>
        </is>
      </c>
      <c r="J6" s="22" t="n">
        <v>45902</v>
      </c>
      <c r="K6" s="22" t="n"/>
      <c r="L6" s="22" t="n"/>
      <c r="M6" s="19" t="n"/>
      <c r="N6" s="19" t="n"/>
      <c r="O6" s="19" t="n"/>
      <c r="P6" s="19" t="n"/>
      <c r="Q6" s="19" t="inlineStr">
        <is>
          <t>Não</t>
        </is>
      </c>
      <c r="R6" s="44" t="n"/>
      <c r="S6" s="19" t="n"/>
      <c r="T6" s="19" t="n"/>
      <c r="U6" s="23" t="n"/>
      <c r="V6" s="3" t="inlineStr">
        <is>
          <t>&lt;a href='http://alerjln1.alerj.rj.gov.br/scpro2327.nsf/18c1dd68f96be3e7832566ec0018d833/a27d98777117360b03258b2500583259?OpenDocument'&gt; LINK&lt;/a&gt;</t>
        </is>
      </c>
      <c r="W6" s="3">
        <f>RIGHT(C6, 4)</f>
        <v/>
      </c>
      <c r="X6" s="3">
        <f>LEFT(C6, LEN(C6) - 5)</f>
        <v/>
      </c>
    </row>
    <row r="7" ht="45" customHeight="1" s="79">
      <c r="A7" s="2" t="inlineStr">
        <is>
          <t>Projeto Lei</t>
        </is>
      </c>
      <c r="B7" s="4">
        <f>RIGHT(C7,4)</f>
        <v/>
      </c>
      <c r="C7" s="73" t="inlineStr">
        <is>
          <t>5344/2022</t>
        </is>
      </c>
      <c r="D7" s="20" t="inlineStr">
        <is>
          <t>DISPÕE SOBRE A IMPLANTAÇÃO DO PROGRAMA COLETIVO AUTISTA DAS UNIVERSIDADES PÚBLICAS DO ESTADO DO RIO DE JANEIRO.</t>
        </is>
      </c>
      <c r="E7" s="20" t="inlineStr">
        <is>
          <t>ROSENVERG REIS</t>
        </is>
      </c>
      <c r="F7" s="18" t="inlineStr">
        <is>
          <t>RENATO MIRANDA</t>
        </is>
      </c>
      <c r="G7" s="21" t="inlineStr">
        <is>
          <t>FAVORÁVEL</t>
        </is>
      </c>
      <c r="H7" s="38" t="inlineStr">
        <is>
          <t>19/09/2025</t>
        </is>
      </c>
      <c r="I7" s="14" t="inlineStr">
        <is>
          <t>6ªRE
02/09/2025</t>
        </is>
      </c>
      <c r="J7" s="24" t="n">
        <v>45902</v>
      </c>
      <c r="K7" s="22" t="n"/>
      <c r="L7" s="22" t="n"/>
      <c r="M7" s="19" t="n"/>
      <c r="N7" s="19" t="n"/>
      <c r="O7" s="19" t="n"/>
      <c r="P7" s="19" t="n"/>
      <c r="Q7" s="19" t="inlineStr">
        <is>
          <t>Não</t>
        </is>
      </c>
      <c r="R7" s="44" t="n"/>
      <c r="S7" s="19" t="n"/>
      <c r="T7" s="19" t="n"/>
      <c r="U7" s="23" t="n"/>
      <c r="V7" s="3" t="inlineStr">
        <is>
          <t>http://alerjln1.alerj.rj.gov.br/scpro1923.nsf/18c1dd68f96be3e7832566ec0018d833/db4e5f81f18b0931032587e3005d6d3c?OpenDocument</t>
        </is>
      </c>
      <c r="W7" s="3">
        <f>RIGHT(C7, 4)</f>
        <v/>
      </c>
      <c r="X7" s="3">
        <f>LEFT(C7, LEN(C7) - 5)</f>
        <v/>
      </c>
    </row>
    <row r="8" ht="60" customHeight="1" s="79">
      <c r="A8" s="2" t="inlineStr">
        <is>
          <t>Projeto Lei</t>
        </is>
      </c>
      <c r="B8" s="4">
        <f>RIGHT(C8,4)</f>
        <v/>
      </c>
      <c r="C8" s="73" t="inlineStr">
        <is>
          <t>664/2015</t>
        </is>
      </c>
      <c r="D8" s="20" t="inlineStr">
        <is>
          <t>DISPÕE SOBRE O PLANTIO OBRIGATÓRIO DE ÁRVORES EM NOVOS EMPREENDIMENTOS IMOBILIÁRIOS, PÚBLICOS OU PRIVADOS,  COMERCIAIS OU INDUSTRIAIS, NO ESTADO DO RIO DE JANEIRO.</t>
        </is>
      </c>
      <c r="E8" s="20" t="inlineStr">
        <is>
          <t>LUCINHA,MÁRCIO CANELLA,WAGUINHO</t>
        </is>
      </c>
      <c r="F8" s="18" t="inlineStr">
        <is>
          <t>RENATO MIRANDA</t>
        </is>
      </c>
      <c r="G8" s="21" t="inlineStr">
        <is>
          <t>FAVORÁVEL</t>
        </is>
      </c>
      <c r="H8" s="38" t="inlineStr">
        <is>
          <t>19/09/2025</t>
        </is>
      </c>
      <c r="I8" s="14" t="inlineStr">
        <is>
          <t>6ªRE
02/09/2025</t>
        </is>
      </c>
      <c r="J8" s="24" t="n">
        <v>45902</v>
      </c>
      <c r="K8" s="22" t="n"/>
      <c r="L8" s="22" t="n"/>
      <c r="M8" s="19" t="n"/>
      <c r="N8" s="19" t="n"/>
      <c r="O8" s="19" t="n"/>
      <c r="P8" s="19" t="n"/>
      <c r="Q8" s="19" t="inlineStr">
        <is>
          <t>Não</t>
        </is>
      </c>
      <c r="R8" s="20" t="inlineStr">
        <is>
          <t>POSSÚI APENSOS (1141/2015 E 2073/2016)</t>
        </is>
      </c>
      <c r="S8" s="19" t="n"/>
      <c r="T8" s="19" t="n"/>
      <c r="U8" s="23" t="n"/>
      <c r="V8" s="3" t="inlineStr">
        <is>
          <t>&lt;a href='http://alerjln1.alerj.rj.gov.br/scpro1519.nsf/18c1dd68f96be3e7832566ec0018d833/1332fd37f5a7b04683257e8a005cf64d?OpenDocument'&gt; LINK&lt;/a&gt;</t>
        </is>
      </c>
      <c r="W8" s="3">
        <f>RIGHT(C8, 4)</f>
        <v/>
      </c>
      <c r="X8" s="3">
        <f>LEFT(C8, LEN(C8) - 5)</f>
        <v/>
      </c>
    </row>
    <row r="9" ht="60" customHeight="1" s="79">
      <c r="A9" s="2" t="inlineStr">
        <is>
          <t>Projeto Lei</t>
        </is>
      </c>
      <c r="B9" s="4">
        <f>RIGHT(C9,4)</f>
        <v/>
      </c>
      <c r="C9" s="73" t="inlineStr">
        <is>
          <t>565/2023</t>
        </is>
      </c>
      <c r="D9" s="2" t="inlineStr">
        <is>
          <t>AUTORIZA O PODER JUDICIÁRIO A INCLUIR O TERAPEUTA OCUPACIONAL NAS EQUIPES TÉCNICAS DE ATUAÇÃO NAS VARAS DA INFÂNCIA E DA JUVENTUDE E DÁ OUTRAS PROVIDÊNCIAS.</t>
        </is>
      </c>
      <c r="E9" s="2" t="inlineStr">
        <is>
          <t>OTONI DE PAULA</t>
        </is>
      </c>
      <c r="F9" s="18" t="inlineStr">
        <is>
          <t>ZEIDAN</t>
        </is>
      </c>
      <c r="G9" s="10" t="inlineStr">
        <is>
          <t>Sim</t>
        </is>
      </c>
      <c r="H9" s="37" t="n"/>
      <c r="I9" s="14" t="inlineStr">
        <is>
          <t>N/A</t>
        </is>
      </c>
      <c r="J9" s="9" t="n"/>
      <c r="K9" s="9" t="n"/>
      <c r="L9" s="9" t="n"/>
      <c r="M9" s="4" t="n"/>
      <c r="N9" s="4" t="n"/>
      <c r="O9" s="4" t="n"/>
      <c r="P9" s="4" t="n"/>
      <c r="Q9" s="4" t="inlineStr">
        <is>
          <t>Não</t>
        </is>
      </c>
      <c r="R9" s="13" t="inlineStr">
        <is>
          <t>Parecer da CCJ por TIL, então foi encaminhado à SGMD</t>
        </is>
      </c>
      <c r="S9" s="4" t="n"/>
      <c r="T9" s="4" t="n"/>
      <c r="U9" s="7" t="n"/>
      <c r="V9" s="3" t="inlineStr">
        <is>
          <t>http://alerjln1.alerj.rj.gov.br/scpro2327.nsf/18c1dd68f96be3e7832566ec0018d833/b082d298c12ca59f03258980005507cd?OpenDocument</t>
        </is>
      </c>
      <c r="W9" s="3">
        <f>RIGHT(C9, 4)</f>
        <v/>
      </c>
      <c r="X9" s="3">
        <f>LEFT(C9, LEN(C9) - 5)</f>
        <v/>
      </c>
    </row>
    <row r="10" ht="30" customHeight="1" s="79">
      <c r="A10" s="2" t="inlineStr">
        <is>
          <t>Projeto Lei</t>
        </is>
      </c>
      <c r="B10" s="4">
        <f>RIGHT(C10,4)</f>
        <v/>
      </c>
      <c r="C10" s="73" t="inlineStr">
        <is>
          <t>EP 4438/2018</t>
        </is>
      </c>
      <c r="D10" s="2" t="inlineStr">
        <is>
          <t>AMPLIA O PARQUE ESTADUAL DO MENDANHA.</t>
        </is>
      </c>
      <c r="E10" s="2" t="inlineStr">
        <is>
          <t>CARLOS MINC,ANDRÉ LAZARONI</t>
        </is>
      </c>
      <c r="F10" s="18" t="inlineStr">
        <is>
          <t>ZEIDAN</t>
        </is>
      </c>
      <c r="G10" s="10" t="inlineStr">
        <is>
          <t>CONTRÁRIO</t>
        </is>
      </c>
      <c r="H10" s="37" t="inlineStr">
        <is>
          <t>17/09/2025</t>
        </is>
      </c>
      <c r="I10" s="14" t="inlineStr">
        <is>
          <t>6ªRE
02/09/2025</t>
        </is>
      </c>
      <c r="J10" s="9" t="n"/>
      <c r="K10" s="9" t="n"/>
      <c r="L10" s="9" t="n"/>
      <c r="M10" s="9" t="n"/>
      <c r="N10" s="9" t="n"/>
      <c r="O10" s="9" t="n"/>
      <c r="P10" s="9" t="n"/>
      <c r="Q10" s="19" t="inlineStr">
        <is>
          <t>Não</t>
        </is>
      </c>
      <c r="R10" s="13" t="n"/>
      <c r="S10" s="4" t="n"/>
      <c r="T10" s="4" t="n"/>
      <c r="U10" s="7" t="n"/>
      <c r="V10" s="3" t="inlineStr">
        <is>
          <t>http://alerjln1.alerj.rj.gov.br/scpro1519.nsf/18c1dd68f96be3e7832566ec0018d833/1640f1edb9e68e0483258312005c83a3?OpenDocument</t>
        </is>
      </c>
      <c r="W10" s="3">
        <f>RIGHT(C10, 4)</f>
        <v/>
      </c>
      <c r="X10" s="3">
        <f>LEFT(C10, LEN(C10) - 5)</f>
        <v/>
      </c>
    </row>
    <row r="11" ht="90" customHeight="1" s="79">
      <c r="A11" s="2" t="inlineStr">
        <is>
          <t>Projeto Lei</t>
        </is>
      </c>
      <c r="B11" s="4">
        <f>RIGHT(C11,4)</f>
        <v/>
      </c>
      <c r="C11" s="73" t="inlineStr">
        <is>
          <t>2982/2024</t>
        </is>
      </c>
      <c r="D11" s="2" t="inlineStr">
        <is>
          <t>DETERMINA QUE OS NOVOS PROJETOS DE PARQUES, PRAÇAS E OUTROS LOCAIS PÚBLICOS, REALIZADOS ATRAVÉS DE CONVÊNIOS COM O PODER PÚBLICO ESTADUAL E DOS MUNÍCIPIOS, DEVERÃO POSSUIR ESPAÇOS DESTINADOS PARA IMPLANTAÇÃO DE  JARDIM SENSORIAL.</t>
        </is>
      </c>
      <c r="E11" s="2" t="inlineStr">
        <is>
          <t>FRED PACHECO</t>
        </is>
      </c>
      <c r="F11" s="18" t="inlineStr">
        <is>
          <t>ZEIDAN</t>
        </is>
      </c>
      <c r="G11" s="10" t="inlineStr">
        <is>
          <t>FAVORÁVEL</t>
        </is>
      </c>
      <c r="H11" s="37" t="inlineStr">
        <is>
          <t>17/09/2025</t>
        </is>
      </c>
      <c r="I11" s="14" t="inlineStr">
        <is>
          <t>6ªRE
02/09/2025</t>
        </is>
      </c>
      <c r="J11" s="9" t="n">
        <v>45902</v>
      </c>
      <c r="K11" s="9" t="n"/>
      <c r="L11" s="9" t="n"/>
      <c r="M11" s="4" t="n"/>
      <c r="N11" s="4" t="n"/>
      <c r="O11" s="4" t="n"/>
      <c r="P11" s="4" t="n"/>
      <c r="Q11" s="19" t="inlineStr">
        <is>
          <t>Não</t>
        </is>
      </c>
      <c r="R11" s="13" t="n"/>
      <c r="S11" s="4" t="n"/>
      <c r="T11" s="4" t="n"/>
      <c r="U11" s="7" t="n"/>
      <c r="V11" s="3" t="inlineStr">
        <is>
          <t>&lt;a href='http://alerjln1.alerj.rj.gov.br/scpro2327.nsf/18c1dd68f96be3e7832566ec0018d833/67224724a3d6c4c703258aca005a26ee?OpenDocument'&gt; LINK&lt;/a&gt;</t>
        </is>
      </c>
      <c r="W11" s="3">
        <f>RIGHT(C11, 4)</f>
        <v/>
      </c>
      <c r="X11" s="3">
        <f>LEFT(C11, LEN(C11) - 5)</f>
        <v/>
      </c>
    </row>
    <row r="12" ht="45" customHeight="1" s="79">
      <c r="A12" s="2" t="inlineStr">
        <is>
          <t>Projeto Lei</t>
        </is>
      </c>
      <c r="B12" s="4">
        <f>RIGHT(C12,4)</f>
        <v/>
      </c>
      <c r="C12" s="73" t="inlineStr">
        <is>
          <t>144/2023</t>
        </is>
      </c>
      <c r="D12" s="2" t="inlineStr">
        <is>
          <t>AUTORIZA O PODER EXECUTIVO ESTADUAL A ESTABELECER A "ESCOLA DE CONSELHOS" DO ESTADO DO RIO DE JANEIRO, NA FORMA QUE MENCIONA.</t>
        </is>
      </c>
      <c r="E12" s="2" t="inlineStr">
        <is>
          <t>MÁRCIO CANELLA</t>
        </is>
      </c>
      <c r="F12" s="18" t="inlineStr">
        <is>
          <t>ZEIDAN</t>
        </is>
      </c>
      <c r="G12" s="10" t="inlineStr">
        <is>
          <t>FAVORÁVEL</t>
        </is>
      </c>
      <c r="H12" s="37" t="inlineStr">
        <is>
          <t>18/09/2025</t>
        </is>
      </c>
      <c r="I12" s="14" t="inlineStr">
        <is>
          <t>6ªRE
02/09/2025</t>
        </is>
      </c>
      <c r="J12" s="9" t="n">
        <v>45902</v>
      </c>
      <c r="K12" s="9" t="n"/>
      <c r="L12" s="9" t="n"/>
      <c r="M12" s="9" t="n"/>
      <c r="N12" s="9" t="n"/>
      <c r="O12" s="9" t="n"/>
      <c r="P12" s="9" t="n"/>
      <c r="Q12" s="19" t="inlineStr">
        <is>
          <t>Não</t>
        </is>
      </c>
      <c r="R12" s="45" t="n"/>
      <c r="S12" s="4" t="n"/>
      <c r="T12" s="4" t="n"/>
      <c r="U12" s="7" t="n"/>
      <c r="V12" s="3" t="inlineStr">
        <is>
          <t>&lt;a href='http://alerjln1.alerj.rj.gov.br/scpro2327.nsf/18c1dd68f96be3e7832566ec0018d833/03ada5440a43464b0325894a0059da00?OpenDocument'&gt; LINK&lt;/a&gt;</t>
        </is>
      </c>
      <c r="W12" s="3">
        <f>RIGHT(C12, 4)</f>
        <v/>
      </c>
      <c r="X12" s="3">
        <f>LEFT(C12, LEN(C12) - 5)</f>
        <v/>
      </c>
    </row>
    <row r="13" ht="30" customHeight="1" s="79">
      <c r="A13" s="2" t="inlineStr">
        <is>
          <t>Projeto Lei</t>
        </is>
      </c>
      <c r="B13" s="4">
        <f>RIGHT(C13,4)</f>
        <v/>
      </c>
      <c r="C13" s="73" t="inlineStr">
        <is>
          <t>1823/2023</t>
        </is>
      </c>
      <c r="D13" s="2" t="inlineStr">
        <is>
          <t>ALTERA A LEI Nº 8.538, DE 27 DE SETEMBRO DE 2019, NA FORMA QUE MENCIONA.</t>
        </is>
      </c>
      <c r="E13" s="2" t="inlineStr">
        <is>
          <t>JARI OLIVEIRA</t>
        </is>
      </c>
      <c r="F13" s="18" t="inlineStr">
        <is>
          <t>ZEIDAN</t>
        </is>
      </c>
      <c r="G13" s="10" t="inlineStr">
        <is>
          <t>FAVORÁVEL</t>
        </is>
      </c>
      <c r="H13" s="37" t="inlineStr">
        <is>
          <t>18/09/2025</t>
        </is>
      </c>
      <c r="I13" s="14" t="inlineStr">
        <is>
          <t>6ªRE
02/09/2025</t>
        </is>
      </c>
      <c r="J13" s="9" t="n">
        <v>45902</v>
      </c>
      <c r="K13" s="9" t="n"/>
      <c r="L13" s="9" t="n"/>
      <c r="M13" s="4" t="n"/>
      <c r="N13" s="4" t="n"/>
      <c r="O13" s="4" t="n"/>
      <c r="P13" s="4" t="n"/>
      <c r="Q13" s="19" t="inlineStr">
        <is>
          <t>Não</t>
        </is>
      </c>
      <c r="R13" s="13" t="n"/>
      <c r="S13" s="4" t="n"/>
      <c r="T13" s="4" t="n"/>
      <c r="U13" s="7" t="n"/>
      <c r="V13" s="3" t="inlineStr">
        <is>
          <t>&lt;a href='http://alerjln1.alerj.rj.gov.br/scpro2327.nsf/18c1dd68f96be3e7832566ec0018d833/57da9eb0ffb3725903258a14005e456e?OpenDocument'&gt; LINK&lt;/a&gt;</t>
        </is>
      </c>
      <c r="W13" s="3">
        <f>RIGHT(C13, 4)</f>
        <v/>
      </c>
      <c r="X13" s="3">
        <f>LEFT(C13, LEN(C13) - 5)</f>
        <v/>
      </c>
    </row>
    <row r="14" ht="75" customHeight="1" s="79">
      <c r="A14" s="2" t="inlineStr">
        <is>
          <t>Projeto Lei</t>
        </is>
      </c>
      <c r="B14" s="4">
        <f>RIGHT(C14,4)</f>
        <v/>
      </c>
      <c r="C14" s="73" t="inlineStr">
        <is>
          <t>EP 1740/2023</t>
        </is>
      </c>
      <c r="D14" s="2" t="inlineStr">
        <is>
          <t>DISPÕE SOBRE A REALIZAÇÃO DE EXAME CLÍNICO/ORTOPÉDICO PARA DIAGNÓSTICO DO PÉ TORTO CONGÊNITO (PTC) EM RECÉM-NASCIDOS NAS UNIDADES HOSPITALARES DO ESTADO DO RIO DE JANEIRO E DÁ OUTRAS PROVIDÊNCIAS.</t>
        </is>
      </c>
      <c r="E14" s="2" t="inlineStr">
        <is>
          <t>RODRIGO BACELLAR</t>
        </is>
      </c>
      <c r="F14" s="18" t="inlineStr">
        <is>
          <t>VINICIUS COZZOLINO</t>
        </is>
      </c>
      <c r="G14" s="10" t="inlineStr">
        <is>
          <t>FAVORÁVEL ÀS EMENDAS</t>
        </is>
      </c>
      <c r="H14" s="37" t="inlineStr">
        <is>
          <t>18/09/2025</t>
        </is>
      </c>
      <c r="I14" s="14" t="inlineStr">
        <is>
          <t>6ªRE
02/09/2025</t>
        </is>
      </c>
      <c r="J14" s="9" t="n"/>
      <c r="K14" s="9" t="n"/>
      <c r="L14" s="9" t="n"/>
      <c r="M14" s="9" t="n"/>
      <c r="N14" s="9" t="n"/>
      <c r="O14" s="9" t="n"/>
      <c r="P14" s="9" t="n"/>
      <c r="Q14" s="19" t="inlineStr">
        <is>
          <t>Não</t>
        </is>
      </c>
      <c r="R14" s="13" t="n"/>
      <c r="S14" s="4" t="n"/>
      <c r="T14" s="4" t="n"/>
      <c r="U14" s="7" t="n"/>
      <c r="V14" s="3" t="inlineStr">
        <is>
          <t>http://alerjln1.alerj.rj.gov.br/scpro2327.nsf/18c1dd68f96be3e7832566ec0018d833/ef6837cfaea9100803258a0c005a0702?OpenDocument</t>
        </is>
      </c>
      <c r="W14" s="3">
        <f>RIGHT(C14, 4)</f>
        <v/>
      </c>
      <c r="X14" s="3">
        <f>LEFT(C14, LEN(C14) - 5)</f>
        <v/>
      </c>
    </row>
    <row r="15" ht="60" customHeight="1" s="79">
      <c r="A15" s="2" t="inlineStr">
        <is>
          <t>Projeto Lei</t>
        </is>
      </c>
      <c r="B15" s="4">
        <f>RIGHT(C15,4)</f>
        <v/>
      </c>
      <c r="C15" s="73" t="inlineStr">
        <is>
          <t>1269/2019</t>
        </is>
      </c>
      <c r="D15" s="2" t="inlineStr">
        <is>
          <t>AUTORIZA O ESTADO DO RIO DE JANEIRO A UTILIZAR VEÍCULOS AUTOMOTORES APREENDIDOS EM RAZÃO DA PRÁTICA DE ILÍCITOS ADMINISTRATIVOS OU PENAIS E DÁ OUTRAS PROVIDÊNCIAS.</t>
        </is>
      </c>
      <c r="E15" s="2" t="inlineStr">
        <is>
          <t>RODRIGO AMORIM</t>
        </is>
      </c>
      <c r="F15" s="18" t="inlineStr">
        <is>
          <t>VINICIUS COZZOLINO</t>
        </is>
      </c>
      <c r="G15" s="10" t="inlineStr">
        <is>
          <t>FAVORÁVEL</t>
        </is>
      </c>
      <c r="H15" s="37" t="inlineStr">
        <is>
          <t>18/09/2025</t>
        </is>
      </c>
      <c r="I15" s="14" t="inlineStr">
        <is>
          <t>6ªRE
02/09/2025</t>
        </is>
      </c>
      <c r="J15" s="9" t="n">
        <v>45902</v>
      </c>
      <c r="K15" s="9" t="n"/>
      <c r="L15" s="9" t="n"/>
      <c r="M15" s="4" t="n"/>
      <c r="N15" s="4" t="n"/>
      <c r="O15" s="4" t="n"/>
      <c r="P15" s="4" t="n"/>
      <c r="Q15" s="19" t="inlineStr">
        <is>
          <t>Não</t>
        </is>
      </c>
      <c r="R15" s="13" t="n"/>
      <c r="S15" s="4" t="n"/>
      <c r="T15" s="4" t="n"/>
      <c r="U15" s="7" t="n"/>
      <c r="V15" s="3" t="inlineStr">
        <is>
          <t>&lt;a href='http://alerjln1.alerj.rj.gov.br/scpro1923.nsf/18c1dd68f96be3e7832566ec0018d833/72b456d3337188a5832584770068ae55?OpenDocument'&gt; LINK&lt;/a&gt;</t>
        </is>
      </c>
      <c r="W15" s="3">
        <f>RIGHT(C15, 4)</f>
        <v/>
      </c>
      <c r="X15" s="3">
        <f>LEFT(C15, LEN(C15) - 5)</f>
        <v/>
      </c>
    </row>
    <row r="16" ht="75" customHeight="1" s="79">
      <c r="A16" s="2" t="inlineStr">
        <is>
          <t>Projeto Lei</t>
        </is>
      </c>
      <c r="B16" s="4">
        <f>RIGHT(C16,4)</f>
        <v/>
      </c>
      <c r="C16" s="73" t="inlineStr">
        <is>
          <t>1191/2019</t>
        </is>
      </c>
      <c r="D16" s="2" t="inlineStr">
        <is>
          <t>CRIA O PROGRAMA ESTADUAL DE TRATAMENTO DIGNO DOS ANIMAIS DE RUA NO ÂMBITO DO ESTADO DO RIO DE JANEIRO.</t>
        </is>
      </c>
      <c r="E16" s="2" t="inlineStr">
        <is>
          <t>DANNIEL LIBRELON</t>
        </is>
      </c>
      <c r="F16" s="18" t="inlineStr">
        <is>
          <t>VINICIUS COZZOLINO</t>
        </is>
      </c>
      <c r="G16" s="10" t="inlineStr">
        <is>
          <t>FAVORÁVEL COM AS EMENDAS DA COMISSÃO DE CONSTITUIÇÃO E JUSTIÇA</t>
        </is>
      </c>
      <c r="H16" s="37" t="inlineStr">
        <is>
          <t>18/09/2025</t>
        </is>
      </c>
      <c r="I16" s="14" t="inlineStr">
        <is>
          <t>6ªRE
02/09/2025</t>
        </is>
      </c>
      <c r="J16" s="9" t="n">
        <v>45902</v>
      </c>
      <c r="K16" s="9" t="n"/>
      <c r="L16" s="9" t="n"/>
      <c r="M16" s="4" t="n"/>
      <c r="N16" s="4" t="n"/>
      <c r="O16" s="4" t="n"/>
      <c r="P16" s="4" t="n"/>
      <c r="Q16" s="19" t="inlineStr">
        <is>
          <t>Não</t>
        </is>
      </c>
      <c r="R16" s="13" t="inlineStr">
        <is>
          <t>apenso 1265/2023</t>
        </is>
      </c>
      <c r="S16" s="4" t="n"/>
      <c r="T16" s="4" t="n"/>
      <c r="U16" s="7" t="n"/>
      <c r="V16" s="3" t="inlineStr">
        <is>
          <t>&lt;a href='http://alerjln1.alerj.rj.gov.br/scpro1923.nsf/18c1dd68f96be3e7832566ec0018d833/390e51d4b94a10898325846a005adc8d?OpenDocument'&gt; LINK&lt;/a&gt;</t>
        </is>
      </c>
      <c r="W16" s="3">
        <f>RIGHT(C16, 4)</f>
        <v/>
      </c>
      <c r="X16" s="3">
        <f>LEFT(C16, LEN(C16) - 5)</f>
        <v/>
      </c>
    </row>
    <row r="17" ht="45" customHeight="1" s="79">
      <c r="A17" s="2" t="inlineStr">
        <is>
          <t>Projeto Lei</t>
        </is>
      </c>
      <c r="B17" s="4">
        <f>RIGHT(C17,4)</f>
        <v/>
      </c>
      <c r="C17" s="73" t="inlineStr">
        <is>
          <t>270/2023</t>
        </is>
      </c>
      <c r="D17" s="2" t="inlineStr">
        <is>
          <t>DISPÕE SOBRE A IMUNIZAÇÃO DE IDOSOS COM A VACINA CONTRA A PNEUMONIA, NA REDE PÚBLICA DE SAÚDE DO ESTADO DO RIO DE JANEIRO</t>
        </is>
      </c>
      <c r="E17" s="2" t="inlineStr">
        <is>
          <t>FRED PACHECO</t>
        </is>
      </c>
      <c r="F17" s="18" t="inlineStr">
        <is>
          <t>VINICIUS COZZOLINO</t>
        </is>
      </c>
      <c r="G17" s="10" t="inlineStr">
        <is>
          <t>Sim</t>
        </is>
      </c>
      <c r="H17" s="37" t="inlineStr">
        <is>
          <t>Sim</t>
        </is>
      </c>
      <c r="I17" s="14" t="inlineStr">
        <is>
          <t>4ªRE
11/06/2025</t>
        </is>
      </c>
      <c r="J17" s="9" t="n"/>
      <c r="K17" s="9" t="n"/>
      <c r="L17" s="9" t="n"/>
      <c r="M17" s="4" t="n"/>
      <c r="N17" s="4" t="n"/>
      <c r="O17" s="4" t="n"/>
      <c r="P17" s="4" t="n"/>
      <c r="Q17" s="4" t="inlineStr">
        <is>
          <t>Não</t>
        </is>
      </c>
      <c r="R17" s="13" t="n"/>
      <c r="S17" s="4" t="n"/>
      <c r="T17" s="4" t="n"/>
      <c r="U17" s="7" t="n"/>
      <c r="V17" s="3" t="inlineStr">
        <is>
          <t>http://alerjln1.alerj.rj.gov.br/scpro2327.nsf/18c1dd68f96be3e7832566ec0018d833/2d9a3e0fa759a8250325896400627f61?OpenDocument</t>
        </is>
      </c>
      <c r="W17" s="3">
        <f>RIGHT(C17, 4)</f>
        <v/>
      </c>
      <c r="X17" s="3">
        <f>LEFT(C17, LEN(C17) - 5)</f>
        <v/>
      </c>
    </row>
    <row r="18" ht="30" customHeight="1" s="79">
      <c r="A18" s="2" t="inlineStr">
        <is>
          <t>Projeto Lei</t>
        </is>
      </c>
      <c r="B18" s="4">
        <f>RIGHT(C18,4)</f>
        <v/>
      </c>
      <c r="C18" s="73" t="inlineStr">
        <is>
          <t>2227/2023</t>
        </is>
      </c>
      <c r="D18" s="2" t="inlineStr">
        <is>
          <t>INSTITUI A SEMANA DE DEFESA E CELEBRAÇÃO DA SOBERANIA ENERGÉTICA</t>
        </is>
      </c>
      <c r="E18" s="2" t="inlineStr">
        <is>
          <t>MARINA DO MST</t>
        </is>
      </c>
      <c r="F18" s="18" t="inlineStr">
        <is>
          <t>VINICIUS COZZOLINO</t>
        </is>
      </c>
      <c r="G18" s="10" t="inlineStr">
        <is>
          <t>Sim</t>
        </is>
      </c>
      <c r="H18" s="37" t="inlineStr">
        <is>
          <t>Sim</t>
        </is>
      </c>
      <c r="I18" s="14" t="inlineStr">
        <is>
          <t>4ªRE
11/06/2025</t>
        </is>
      </c>
      <c r="J18" s="9" t="n"/>
      <c r="K18" s="9" t="n"/>
      <c r="L18" s="9" t="n"/>
      <c r="M18" s="9" t="n"/>
      <c r="N18" s="9" t="n"/>
      <c r="O18" s="9" t="n"/>
      <c r="P18" s="9" t="n"/>
      <c r="Q18" s="4" t="inlineStr">
        <is>
          <t>Não</t>
        </is>
      </c>
      <c r="R18" s="13" t="n"/>
      <c r="S18" s="4" t="n"/>
      <c r="T18" s="4" t="n"/>
      <c r="U18" s="7" t="n"/>
      <c r="V18" s="3" t="inlineStr">
        <is>
          <t>http://alerjln1.alerj.rj.gov.br/scpro2327.nsf/18c1dd68f96be3e7832566ec0018d833/5016d688b032d58f03258a38005dd673?OpenDocument</t>
        </is>
      </c>
      <c r="W18" s="3">
        <f>RIGHT(C18, 4)</f>
        <v/>
      </c>
      <c r="X18" s="3">
        <f>LEFT(C18, LEN(C18) - 5)</f>
        <v/>
      </c>
    </row>
    <row r="19" ht="60" customHeight="1" s="79">
      <c r="A19" s="73" t="inlineStr">
        <is>
          <t>Projeto Lei</t>
        </is>
      </c>
      <c r="B19" s="4">
        <f>RIGHT(C19,4)</f>
        <v/>
      </c>
      <c r="C19" s="73" t="inlineStr">
        <is>
          <t>1321/2019</t>
        </is>
      </c>
      <c r="D19" s="20" t="inlineStr">
        <is>
          <t>DISPÕE SOBRE O INGRESSO DE ALIMENTOS E BEBIDAS NÃO ALCOÓLICAS, LEVADOS PELOS CONSUMIDORES ÀS ARENAS ESPORTIVAS E LOCAIS DE ENTRETENIMENTOS E DÁ OUTRAS PROVIDÊNCIAS</t>
        </is>
      </c>
      <c r="E19" s="2" t="inlineStr">
        <is>
          <t>DIONÍSIO LINS</t>
        </is>
      </c>
      <c r="F19" s="18" t="inlineStr">
        <is>
          <t>VINICIUS COZZOLINO</t>
        </is>
      </c>
      <c r="G19" s="10" t="inlineStr">
        <is>
          <t>Sim</t>
        </is>
      </c>
      <c r="H19" s="37" t="inlineStr">
        <is>
          <t>Sim</t>
        </is>
      </c>
      <c r="I19" s="14" t="inlineStr">
        <is>
          <t>4ªRE
11/06/2025</t>
        </is>
      </c>
      <c r="J19" s="9" t="n"/>
      <c r="K19" s="9" t="n"/>
      <c r="L19" s="9" t="n"/>
      <c r="M19" s="4" t="n"/>
      <c r="N19" s="4" t="n"/>
      <c r="O19" s="4" t="n"/>
      <c r="P19" s="4" t="n"/>
      <c r="Q19" s="4" t="inlineStr">
        <is>
          <t>Não</t>
        </is>
      </c>
      <c r="R19" s="13" t="n"/>
      <c r="S19" s="4" t="n"/>
      <c r="T19" s="4" t="n"/>
      <c r="U19" s="7" t="n"/>
      <c r="V19" s="3" t="inlineStr">
        <is>
          <t>http://alerjln1.alerj.rj.gov.br/scpro1923.nsf/18c1dd68f96be3e7832566ec0018d833/7cb31320ef313e7a832584700046e3df?OpenDocument</t>
        </is>
      </c>
      <c r="W19" s="3">
        <f>RIGHT(C19, 4)</f>
        <v/>
      </c>
      <c r="X19" s="3">
        <f>LEFT(C19, LEN(C19) - 5)</f>
        <v/>
      </c>
    </row>
    <row r="20" ht="60" customHeight="1" s="79">
      <c r="A20" s="2" t="inlineStr">
        <is>
          <t>Projeto Lei</t>
        </is>
      </c>
      <c r="B20" s="4">
        <f>RIGHT(C20,4)</f>
        <v/>
      </c>
      <c r="C20" s="73" t="inlineStr">
        <is>
          <t>439/2023</t>
        </is>
      </c>
      <c r="D20" s="2" t="inlineStr">
        <is>
          <t>DISPÕE SOBRE A OBRIGATORIEDADE DE FUNCIONAMENTO DAS CABINES DE COBRANÇA NAS PRAÇAS DE PEDÁGIO DAS RODOVIAS ESTADUAIS, NA FORMA QUE MENCIONA</t>
        </is>
      </c>
      <c r="E20" s="2" t="inlineStr">
        <is>
          <t>JULIO ROCHA</t>
        </is>
      </c>
      <c r="F20" s="18" t="inlineStr">
        <is>
          <t>VINICIUS COZZOLINO</t>
        </is>
      </c>
      <c r="G20" s="10" t="inlineStr">
        <is>
          <t>Sim</t>
        </is>
      </c>
      <c r="H20" s="37" t="inlineStr">
        <is>
          <t>Sim</t>
        </is>
      </c>
      <c r="I20" s="14" t="inlineStr">
        <is>
          <t>4ªRE
11/06/2025</t>
        </is>
      </c>
      <c r="J20" s="9" t="n"/>
      <c r="K20" s="9" t="n"/>
      <c r="L20" s="9" t="n"/>
      <c r="M20" s="4" t="n"/>
      <c r="N20" s="4" t="n"/>
      <c r="O20" s="4" t="n"/>
      <c r="P20" s="4" t="n"/>
      <c r="Q20" s="4" t="inlineStr">
        <is>
          <t>Não</t>
        </is>
      </c>
      <c r="R20" s="13" t="n"/>
      <c r="S20" s="4" t="n"/>
      <c r="T20" s="4" t="n"/>
      <c r="U20" s="7" t="n"/>
      <c r="V20" s="3" t="inlineStr">
        <is>
          <t>http://alerjln1.alerj.rj.gov.br/scpro2327.nsf/18c1dd68f96be3e7832566ec0018d833/cf64ca635e01213403258973005ef2aa?OpenDocument</t>
        </is>
      </c>
      <c r="W20" s="3">
        <f>RIGHT(C20, 4)</f>
        <v/>
      </c>
      <c r="X20" s="3">
        <f>LEFT(C20, LEN(C20) - 5)</f>
        <v/>
      </c>
    </row>
    <row r="21" ht="60" customHeight="1" s="79">
      <c r="A21" s="2" t="inlineStr">
        <is>
          <t>Projeto Lei</t>
        </is>
      </c>
      <c r="B21" s="4">
        <f>RIGHT(C21,4)</f>
        <v/>
      </c>
      <c r="C21" s="73" t="inlineStr">
        <is>
          <t>149/2023</t>
        </is>
      </c>
      <c r="D21" s="2" t="inlineStr">
        <is>
          <t>REGULAMENTA A DISTÂNCIA MÍNIMA E MÁXIMA ESTRE A TELA DE PROJEÇÃO E A PRIMEIRA E ÚLTIMA FILEIRAS DE POLTRONAS NOS CINEMAS, E DÁ OUTRAS PROVIDÊNCIAS</t>
        </is>
      </c>
      <c r="E21" s="2" t="inlineStr">
        <is>
          <t>MÁRCIO CANELLA</t>
        </is>
      </c>
      <c r="F21" s="18" t="inlineStr">
        <is>
          <t>VINICIUS COZZOLINO</t>
        </is>
      </c>
      <c r="G21" s="10" t="inlineStr">
        <is>
          <t>Sim</t>
        </is>
      </c>
      <c r="H21" s="37" t="inlineStr">
        <is>
          <t>Sim</t>
        </is>
      </c>
      <c r="I21" s="14" t="inlineStr">
        <is>
          <t>4ªRE
11/06/2025</t>
        </is>
      </c>
      <c r="J21" s="9" t="n"/>
      <c r="K21" s="9" t="n"/>
      <c r="L21" s="9" t="n"/>
      <c r="M21" s="4" t="n"/>
      <c r="N21" s="4" t="n"/>
      <c r="O21" s="4" t="n"/>
      <c r="P21" s="4" t="n"/>
      <c r="Q21" s="4" t="inlineStr">
        <is>
          <t>Não</t>
        </is>
      </c>
      <c r="R21" s="13" t="n"/>
      <c r="S21" s="4" t="n"/>
      <c r="T21" s="4" t="n"/>
      <c r="U21" s="7" t="n"/>
      <c r="V21" s="3" t="inlineStr">
        <is>
          <t>http://alerjln1.alerj.rj.gov.br/scpro2327.nsf/18c1dd68f96be3e7832566ec0018d833/ea0fb1606de09d580325894f00508dd0?OpenDocument</t>
        </is>
      </c>
      <c r="W21" s="3">
        <f>RIGHT(C21, 4)</f>
        <v/>
      </c>
      <c r="X21" s="3">
        <f>LEFT(C21, LEN(C21) - 5)</f>
        <v/>
      </c>
    </row>
    <row r="22" ht="60" customHeight="1" s="79">
      <c r="A22" s="73" t="inlineStr">
        <is>
          <t>Projeto Lei</t>
        </is>
      </c>
      <c r="B22" s="4">
        <f>RIGHT(C22,4)</f>
        <v/>
      </c>
      <c r="C22" s="73" t="inlineStr">
        <is>
          <t>3433/2020</t>
        </is>
      </c>
      <c r="D22" s="2" t="inlineStr">
        <is>
          <t>INSTITUI A CAMPANHA DE CONSCIENTIZAÇÃO SOBRE A CASTRAÇÃO E COMBATE AO CÂNCER EM ANIMAIS, NO ÂMBITO DO ESTADO DO RIO DE JANEIRO, E DÁ OUTRAS PROVIDÊNCIAS</t>
        </is>
      </c>
      <c r="E22" s="2" t="inlineStr">
        <is>
          <t>DANNIEL LIBRELON</t>
        </is>
      </c>
      <c r="F22" s="18" t="inlineStr">
        <is>
          <t>VINICIUS COZZOLINO</t>
        </is>
      </c>
      <c r="G22" s="10" t="inlineStr">
        <is>
          <t>Sim</t>
        </is>
      </c>
      <c r="H22" s="37" t="inlineStr">
        <is>
          <t>Sim</t>
        </is>
      </c>
      <c r="I22" s="14" t="inlineStr">
        <is>
          <t>4ªRE
11/06/2025</t>
        </is>
      </c>
      <c r="J22" s="9" t="n"/>
      <c r="K22" s="9" t="n"/>
      <c r="L22" s="9" t="n"/>
      <c r="M22" s="9" t="n"/>
      <c r="N22" s="9" t="n"/>
      <c r="O22" s="9" t="n"/>
      <c r="P22" s="9" t="n"/>
      <c r="Q22" s="4" t="inlineStr">
        <is>
          <t>Não</t>
        </is>
      </c>
      <c r="R22" s="2" t="n"/>
      <c r="S22" s="4" t="n"/>
      <c r="T22" s="4" t="n"/>
      <c r="U22" s="7" t="n"/>
      <c r="V22" s="3" t="inlineStr">
        <is>
          <t>http://alerjln1.alerj.rj.gov.br/scpro1923.nsf/18c1dd68f96be3e7832566ec0018d833/4a216affaa98285a0325863800629e16?OpenDocument</t>
        </is>
      </c>
      <c r="W22" s="3">
        <f>RIGHT(C22, 4)</f>
        <v/>
      </c>
      <c r="X22" s="3">
        <f>LEFT(C22, LEN(C22) - 5)</f>
        <v/>
      </c>
    </row>
    <row r="23" ht="165" customHeight="1" s="79">
      <c r="A23" s="2" t="inlineStr">
        <is>
          <t>Projeto Lei</t>
        </is>
      </c>
      <c r="B23" s="4">
        <f>RIGHT(C23,4)</f>
        <v/>
      </c>
      <c r="C23" s="73" t="inlineStr">
        <is>
          <t>5333/2022</t>
        </is>
      </c>
      <c r="D23" s="2" t="inlineStr">
        <is>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is>
      </c>
      <c r="E23" s="2" t="inlineStr">
        <is>
          <t>JARI OLIVEIRA</t>
        </is>
      </c>
      <c r="F23" s="18" t="inlineStr">
        <is>
          <t>ANDRÉ CORRÊA</t>
        </is>
      </c>
      <c r="G23" s="10" t="inlineStr">
        <is>
          <t>Sim</t>
        </is>
      </c>
      <c r="H23" s="37" t="inlineStr">
        <is>
          <t>Sim</t>
        </is>
      </c>
      <c r="I23" s="14" t="inlineStr">
        <is>
          <t>4ªRE
11/06/2025</t>
        </is>
      </c>
      <c r="J23" s="9" t="n"/>
      <c r="K23" s="9" t="n"/>
      <c r="L23" s="9" t="n"/>
      <c r="M23" s="4" t="n"/>
      <c r="N23" s="4" t="n"/>
      <c r="O23" s="4" t="n"/>
      <c r="P23" s="4" t="n"/>
      <c r="Q23" s="4" t="inlineStr">
        <is>
          <t>Não</t>
        </is>
      </c>
      <c r="R23" s="13" t="n"/>
      <c r="S23" s="4" t="n"/>
      <c r="T23" s="4" t="n"/>
      <c r="U23" s="7" t="n"/>
      <c r="V23" s="3" t="inlineStr">
        <is>
          <t>http://alerjln1.alerj.rj.gov.br/scpro1923.nsf/18c1dd68f96be3e7832566ec0018d833/672af5af84431a39032587de00654570?OpenDocument</t>
        </is>
      </c>
      <c r="W23" s="3">
        <f>RIGHT(C23, 4)</f>
        <v/>
      </c>
      <c r="X23" s="3">
        <f>LEFT(C23, LEN(C23) - 5)</f>
        <v/>
      </c>
    </row>
    <row r="24" ht="60" customHeight="1" s="79">
      <c r="A24" s="2" t="inlineStr">
        <is>
          <t>Projeto Lei</t>
        </is>
      </c>
      <c r="B24" s="4">
        <f>RIGHT(C24,4)</f>
        <v/>
      </c>
      <c r="C24" s="73" t="inlineStr">
        <is>
          <t>5348/2022</t>
        </is>
      </c>
      <c r="D24" s="2" t="inlineStr">
        <is>
          <t>DISPÕE SOBRE NOMEAÇÃO E POSSE DE PROFESSORES APROVADOS NO ÚLTIMO CONCURSO PÚBLICO PARA O PREENCHIMENTO DE CARGOS DA SECRETARIA DE ESTADO DE EDUCAÇÃO</t>
        </is>
      </c>
      <c r="E24" s="2" t="inlineStr">
        <is>
          <t>CARLOS MINC</t>
        </is>
      </c>
      <c r="F24" s="18" t="inlineStr">
        <is>
          <t>ANDRÉ CORRÊA</t>
        </is>
      </c>
      <c r="G24" s="10" t="inlineStr">
        <is>
          <t>Sim</t>
        </is>
      </c>
      <c r="H24" s="37" t="inlineStr">
        <is>
          <t>Sim</t>
        </is>
      </c>
      <c r="I24" s="14" t="inlineStr">
        <is>
          <t>4ªRE
11/06/2025</t>
        </is>
      </c>
      <c r="J24" s="9" t="n"/>
      <c r="K24" s="17" t="n"/>
      <c r="L24" s="9" t="n"/>
      <c r="M24" s="9" t="n"/>
      <c r="N24" s="9" t="n"/>
      <c r="O24" s="9" t="n"/>
      <c r="P24" s="9" t="n"/>
      <c r="Q24" s="4" t="inlineStr">
        <is>
          <t>Sim</t>
        </is>
      </c>
      <c r="R24" s="13" t="inlineStr">
        <is>
          <t>10/07/2025 - aguardando pegar assinaturas</t>
        </is>
      </c>
      <c r="S24" s="4" t="n"/>
      <c r="T24" s="4" t="n"/>
      <c r="U24" s="7" t="n"/>
      <c r="V24" s="3" t="inlineStr">
        <is>
          <t>http://alerjln1.alerj.rj.gov.br/scpro1923.nsf/18c1dd68f96be3e7832566ec0018d833/826b97c45f89a02c032587e3005e2809?OpenDocument</t>
        </is>
      </c>
      <c r="W24" s="3">
        <f>RIGHT(C24, 4)</f>
        <v/>
      </c>
      <c r="X24" s="3">
        <f>LEFT(C24, LEN(C24) - 5)</f>
        <v/>
      </c>
    </row>
    <row r="25" ht="75" customHeight="1" s="79">
      <c r="A25" s="2" t="inlineStr">
        <is>
          <t>Projeto Lei</t>
        </is>
      </c>
      <c r="B25" s="4">
        <f>RIGHT(C25,4)</f>
        <v/>
      </c>
      <c r="C25" s="2" t="inlineStr">
        <is>
          <t>5524/2022</t>
        </is>
      </c>
      <c r="D25" s="2" t="inlineStr">
        <is>
          <t>ALTERA A LEI Nº 7258 DE 12 DE ABRIL 2016, QUE “ESTABELECE REGIME DE COTAS PARA PESSOAS COM DEFICIÊNCIA PARA AS EMPRESAS QUE FIRMAREM CONTRATO COM O ESTADO DO RIO DE JANEIRO E DÁ OUTRAS PROVIDÊNCIAS</t>
        </is>
      </c>
      <c r="E25" s="2" t="inlineStr">
        <is>
          <t>TIA JU</t>
        </is>
      </c>
      <c r="F25" s="18" t="inlineStr">
        <is>
          <t>ANDRÉ CORRÊA</t>
        </is>
      </c>
      <c r="G25" s="10" t="inlineStr">
        <is>
          <t>Sim</t>
        </is>
      </c>
      <c r="H25" s="37" t="inlineStr">
        <is>
          <t>Sim</t>
        </is>
      </c>
      <c r="I25" s="14" t="inlineStr">
        <is>
          <t>4ªRE
11/06/2025</t>
        </is>
      </c>
      <c r="J25" s="9" t="n"/>
      <c r="K25" s="17" t="n"/>
      <c r="L25" s="26" t="n"/>
      <c r="M25" s="9" t="n"/>
      <c r="N25" s="9" t="n"/>
      <c r="O25" s="9" t="n"/>
      <c r="P25" s="9" t="n"/>
      <c r="Q25" s="4" t="inlineStr">
        <is>
          <t>Não</t>
        </is>
      </c>
      <c r="R25" s="13" t="n"/>
      <c r="S25" s="4" t="n"/>
      <c r="T25" s="4" t="n"/>
      <c r="U25" s="7" t="n"/>
      <c r="V25" s="3" t="n"/>
      <c r="W25" s="3">
        <f>RIGHT(C25, 4)</f>
        <v/>
      </c>
      <c r="X25" s="3">
        <f>LEFT(C25, LEN(C25) - 5)</f>
        <v/>
      </c>
    </row>
    <row r="26" ht="30" customHeight="1" s="79">
      <c r="A26" s="2" t="inlineStr">
        <is>
          <t>Projeto Lei</t>
        </is>
      </c>
      <c r="B26" s="4">
        <f>RIGHT(C26,4)</f>
        <v/>
      </c>
      <c r="C26" s="2" t="inlineStr">
        <is>
          <t>6431/2022</t>
        </is>
      </c>
      <c r="D26" s="2" t="inlineStr">
        <is>
          <t>TORNA OBRIGATÓRIO CONSTAR NOS EXAMES DE PRÉ-NATAL O TESTE HTLV PARA AS GESTANTES</t>
        </is>
      </c>
      <c r="E26" s="2" t="inlineStr">
        <is>
          <t>FRANCIANE MOTTA</t>
        </is>
      </c>
      <c r="F26" s="18" t="inlineStr">
        <is>
          <t>RENATO MIRANDA</t>
        </is>
      </c>
      <c r="G26" s="10" t="inlineStr">
        <is>
          <t>Sim</t>
        </is>
      </c>
      <c r="H26" s="37" t="inlineStr">
        <is>
          <t>Sim</t>
        </is>
      </c>
      <c r="I26" s="14" t="inlineStr">
        <is>
          <t>4ªRE
11/06/2025</t>
        </is>
      </c>
      <c r="J26" s="9" t="n"/>
      <c r="K26" s="9" t="n"/>
      <c r="L26" s="9" t="n"/>
      <c r="M26" s="9" t="n"/>
      <c r="N26" s="9" t="n"/>
      <c r="O26" s="9" t="n"/>
      <c r="P26" s="9" t="n"/>
      <c r="Q26" s="4" t="inlineStr">
        <is>
          <t>Não</t>
        </is>
      </c>
      <c r="R26" s="13" t="n"/>
      <c r="S26" s="4" t="n"/>
      <c r="T26" s="4" t="n"/>
      <c r="U26" s="7" t="n"/>
      <c r="V26" s="3" t="n"/>
      <c r="W26" s="3">
        <f>RIGHT(C26, 4)</f>
        <v/>
      </c>
      <c r="X26" s="3">
        <f>LEFT(C26, LEN(C26) - 5)</f>
        <v/>
      </c>
    </row>
    <row r="27" ht="60" customHeight="1" s="79">
      <c r="A27" s="2" t="inlineStr">
        <is>
          <t>Projeto Lei</t>
        </is>
      </c>
      <c r="B27" s="4">
        <f>RIGHT(C27,4)</f>
        <v/>
      </c>
      <c r="C27" s="2" t="inlineStr">
        <is>
          <t>6390/2022</t>
        </is>
      </c>
      <c r="D27" s="2" t="inlineStr">
        <is>
          <t>ALTERA A LEI Nº 9.384, DE 26 DE AGOSTO DE 2021, QUE DISPÕE SOBRE POLÍTICA ESTADUAL PARA A PREVENÇÃO E CONTROLE DA NEOPLASIA MALIGNA NO ESTADO DO RIO DE JANEIRO</t>
        </is>
      </c>
      <c r="E27" s="2" t="inlineStr">
        <is>
          <t>DANNIEL LIBRELON</t>
        </is>
      </c>
      <c r="F27" s="18" t="inlineStr">
        <is>
          <t>RENATO MIRANDA</t>
        </is>
      </c>
      <c r="G27" s="10" t="inlineStr">
        <is>
          <t>Sim</t>
        </is>
      </c>
      <c r="H27" s="37" t="inlineStr">
        <is>
          <t>Sim</t>
        </is>
      </c>
      <c r="I27" s="14" t="inlineStr">
        <is>
          <t>4ªRE
11/06/2025</t>
        </is>
      </c>
      <c r="J27" s="9" t="n"/>
      <c r="K27" s="9" t="n"/>
      <c r="L27" s="9" t="n"/>
      <c r="M27" s="9" t="n"/>
      <c r="N27" s="9" t="n"/>
      <c r="O27" s="9" t="n"/>
      <c r="P27" s="9" t="n"/>
      <c r="Q27" s="4" t="inlineStr">
        <is>
          <t>Não</t>
        </is>
      </c>
      <c r="R27" s="13" t="n"/>
      <c r="S27" s="4" t="n"/>
      <c r="T27" s="4" t="n"/>
      <c r="U27" s="7" t="n"/>
      <c r="V27" s="3" t="n"/>
      <c r="W27" s="3">
        <f>RIGHT(C27, 4)</f>
        <v/>
      </c>
      <c r="X27" s="3">
        <f>LEFT(C27, LEN(C27) - 5)</f>
        <v/>
      </c>
    </row>
    <row r="28" ht="45" customHeight="1" s="79">
      <c r="A28" s="2" t="inlineStr">
        <is>
          <t>Projeto Lei</t>
        </is>
      </c>
      <c r="B28" s="4">
        <f>RIGHT(C28,4)</f>
        <v/>
      </c>
      <c r="C28" s="2" t="inlineStr">
        <is>
          <t>6333/2022</t>
        </is>
      </c>
      <c r="D28" s="2" t="inlineStr">
        <is>
          <t>DISPÕE SOBRE A INSERÇÃO DE ESPORTES OLÍMPICOS NA GRADE CURRICULAR DAS ESCOLAS PÚBLICAS DO ESTADO DO RIO DE JANEIRO</t>
        </is>
      </c>
      <c r="E28" s="2" t="inlineStr">
        <is>
          <t>CARLOS MINC</t>
        </is>
      </c>
      <c r="F28" s="18" t="inlineStr">
        <is>
          <t>RENATO MIRANDA</t>
        </is>
      </c>
      <c r="G28" s="10" t="inlineStr">
        <is>
          <t>Sim</t>
        </is>
      </c>
      <c r="H28" s="37" t="inlineStr">
        <is>
          <t>Sim</t>
        </is>
      </c>
      <c r="I28" s="14" t="inlineStr">
        <is>
          <t>4ªRE
11/06/2025</t>
        </is>
      </c>
      <c r="J28" s="9" t="n"/>
      <c r="K28" s="4" t="n"/>
      <c r="L28" s="9" t="n"/>
      <c r="M28" s="9" t="n"/>
      <c r="N28" s="9" t="n"/>
      <c r="O28" s="9" t="n"/>
      <c r="P28" s="9" t="n"/>
      <c r="Q28" s="4" t="inlineStr">
        <is>
          <t>Não</t>
        </is>
      </c>
      <c r="R28" s="13" t="n"/>
      <c r="S28" s="4" t="n"/>
      <c r="T28" s="4" t="n"/>
      <c r="U28" s="7" t="n"/>
      <c r="V28" s="3" t="n"/>
      <c r="W28" s="3">
        <f>RIGHT(C28, 4)</f>
        <v/>
      </c>
      <c r="X28" s="3">
        <f>LEFT(C28, LEN(C28) - 5)</f>
        <v/>
      </c>
    </row>
    <row r="29" ht="60" customHeight="1" s="79">
      <c r="A29" s="2" t="inlineStr">
        <is>
          <t>Projeto Lei</t>
        </is>
      </c>
      <c r="B29" s="4">
        <f>RIGHT(C29,4)</f>
        <v/>
      </c>
      <c r="C29" s="2" t="inlineStr">
        <is>
          <t>3026/2020</t>
        </is>
      </c>
      <c r="D29" s="2" t="inlineStr">
        <is>
          <t>DISPÕE SOBRE A UTILIZAÇÃO DE VAGÕES DE METRÔ, TRENS E NAS BARCAS PARA EXPOSIÇÃO ININTERRUPTA DE FOTOS DE PESSOAS DESAPARECIDAS NO ESTADO DO RIO DE JANEIRO</t>
        </is>
      </c>
      <c r="E29" s="2" t="inlineStr">
        <is>
          <t>DANNIEL LIBRELON</t>
        </is>
      </c>
      <c r="F29" s="18" t="inlineStr">
        <is>
          <t>RENATO MIRANDA</t>
        </is>
      </c>
      <c r="G29" s="10" t="inlineStr">
        <is>
          <t>Sim</t>
        </is>
      </c>
      <c r="H29" s="37" t="inlineStr">
        <is>
          <t>Sim</t>
        </is>
      </c>
      <c r="I29" s="14" t="inlineStr">
        <is>
          <t>4ªRE
11/06/2025</t>
        </is>
      </c>
      <c r="J29" s="9" t="n"/>
      <c r="K29" s="4" t="n"/>
      <c r="L29" s="9" t="n"/>
      <c r="M29" s="9" t="n"/>
      <c r="N29" s="9" t="n"/>
      <c r="O29" s="9" t="n"/>
      <c r="P29" s="9" t="n"/>
      <c r="Q29" s="4" t="inlineStr">
        <is>
          <t>Não</t>
        </is>
      </c>
      <c r="R29" s="13" t="n"/>
      <c r="S29" s="4" t="n"/>
      <c r="T29" s="4" t="n"/>
      <c r="U29" s="7" t="n"/>
      <c r="V29" s="3" t="n"/>
      <c r="W29" s="3">
        <f>RIGHT(C29, 4)</f>
        <v/>
      </c>
      <c r="X29" s="3">
        <f>LEFT(C29, LEN(C29) - 5)</f>
        <v/>
      </c>
    </row>
    <row r="30" ht="60" customHeight="1" s="79">
      <c r="A30" s="2" t="inlineStr">
        <is>
          <t>Projeto Lei</t>
        </is>
      </c>
      <c r="B30" s="4">
        <f>RIGHT(C30,4)</f>
        <v/>
      </c>
      <c r="C30" s="2" t="inlineStr">
        <is>
          <t>3441/2020</t>
        </is>
      </c>
      <c r="D30" s="2" t="inlineStr">
        <is>
          <t>DISPÕE SOBRE A POLÍTICA ESTADUAL DE CONSCIENTIZAÇÃO E INFORMAÇÃO SOBRE A ACROMEGALIA NO ÂMBITO DO ESTADO DO RIO DE JANEIRO E DÁ OUTRAS PROVIDÊNCIAS</t>
        </is>
      </c>
      <c r="E30" s="2" t="inlineStr">
        <is>
          <t>DANNIEL LIBRELON</t>
        </is>
      </c>
      <c r="F30" s="18" t="inlineStr">
        <is>
          <t>RENATO MIRANDA</t>
        </is>
      </c>
      <c r="G30" s="10" t="inlineStr">
        <is>
          <t>Sim</t>
        </is>
      </c>
      <c r="H30" s="37" t="inlineStr">
        <is>
          <t>Sim</t>
        </is>
      </c>
      <c r="I30" s="14" t="inlineStr">
        <is>
          <t>4ªRE
11/06/2025</t>
        </is>
      </c>
      <c r="J30" s="4" t="n"/>
      <c r="K30" s="4" t="n"/>
      <c r="L30" s="9" t="n"/>
      <c r="M30" s="9" t="n"/>
      <c r="N30" s="9" t="n"/>
      <c r="O30" s="9" t="n"/>
      <c r="P30" s="9" t="n"/>
      <c r="Q30" s="4" t="inlineStr">
        <is>
          <t>Não</t>
        </is>
      </c>
      <c r="R30" s="13" t="n"/>
      <c r="S30" s="4" t="n"/>
      <c r="T30" s="4" t="n"/>
      <c r="U30" s="7" t="n"/>
      <c r="V30" s="3" t="n"/>
      <c r="W30" s="3">
        <f>RIGHT(C30, 4)</f>
        <v/>
      </c>
      <c r="X30" s="3">
        <f>LEFT(C30, LEN(C30) - 5)</f>
        <v/>
      </c>
    </row>
    <row r="31" ht="60" customHeight="1" s="79">
      <c r="A31" s="2" t="inlineStr">
        <is>
          <t>Projeto Lei</t>
        </is>
      </c>
      <c r="B31" s="4">
        <f>RIGHT(C31,4)</f>
        <v/>
      </c>
      <c r="C31" s="2" t="inlineStr">
        <is>
          <t>1676/2023</t>
        </is>
      </c>
      <c r="D31" s="2" t="inlineStr">
        <is>
          <t>ISENTA DO PAGAMENTO DE TAXA DE INSCRIÇÃO EM CONCURSO PÚBLICO NO ÂMBITO DO ESTADO DO RIO DE JANEIRO AS CANDIDATAS VÍTIMAS DE VIOLÊNCIA DOMÉSTICA E FAMILIAR</t>
        </is>
      </c>
      <c r="E31" s="2" t="inlineStr">
        <is>
          <t>CARLINHOS BNH</t>
        </is>
      </c>
      <c r="F31" s="18" t="inlineStr">
        <is>
          <t>RENATO MIRANDA</t>
        </is>
      </c>
      <c r="G31" s="10" t="inlineStr">
        <is>
          <t>Sim</t>
        </is>
      </c>
      <c r="H31" s="37" t="inlineStr">
        <is>
          <t>Sim</t>
        </is>
      </c>
      <c r="I31" s="14" t="inlineStr">
        <is>
          <t>4ªRE
11/06/2025</t>
        </is>
      </c>
      <c r="J31" s="9" t="n"/>
      <c r="K31" s="4" t="n"/>
      <c r="L31" s="9" t="n"/>
      <c r="M31" s="4" t="n"/>
      <c r="N31" s="4" t="n"/>
      <c r="O31" s="4" t="n"/>
      <c r="P31" s="4" t="n"/>
      <c r="Q31" s="4" t="inlineStr">
        <is>
          <t>Não</t>
        </is>
      </c>
      <c r="R31" s="13" t="n"/>
      <c r="S31" s="4" t="n"/>
      <c r="T31" s="4" t="n"/>
      <c r="U31" s="7" t="n"/>
      <c r="V31" s="3" t="n"/>
      <c r="W31" s="3">
        <f>RIGHT(C31, 4)</f>
        <v/>
      </c>
      <c r="X31" s="3">
        <f>LEFT(C31, LEN(C31) - 5)</f>
        <v/>
      </c>
    </row>
    <row r="32" ht="90" customHeight="1" s="79">
      <c r="A32" s="2" t="inlineStr">
        <is>
          <t>Projeto Lei</t>
        </is>
      </c>
      <c r="B32" s="4">
        <f>RIGHT(C32,4)</f>
        <v/>
      </c>
      <c r="C32" s="73" t="inlineStr">
        <is>
          <t>2055/2023</t>
        </is>
      </c>
      <c r="D32" s="2" t="inlineStr">
        <is>
          <t>ALTERA A LEI Nº 4.812, DE 10 DE JULHO DE 2006, PARA CRIAR O PROGRAMA "PRAIA PARA TODOS", COM O OBJETIVO DE GARANTIR A ACESSIBILIDADE DE PESSOAS COM DEFICIÊNCIA OU MOBILIDADE REDUZIDA NAS PRAIAS MARÍTIMAS URBANAS DO ESTADO DO RIO DE JANEIRO</t>
        </is>
      </c>
      <c r="E32" s="2" t="inlineStr">
        <is>
          <t>MÁRCIO CANELLA</t>
        </is>
      </c>
      <c r="F32" s="18" t="inlineStr">
        <is>
          <t>RENATO MIRANDA</t>
        </is>
      </c>
      <c r="G32" s="10" t="inlineStr">
        <is>
          <t>Sim</t>
        </is>
      </c>
      <c r="H32" s="37" t="inlineStr">
        <is>
          <t>Sim</t>
        </is>
      </c>
      <c r="I32" s="14" t="inlineStr">
        <is>
          <t>4ªRE
11/06/2025</t>
        </is>
      </c>
      <c r="J32" s="9" t="n"/>
      <c r="K32" s="4" t="n"/>
      <c r="L32" s="9" t="n"/>
      <c r="M32" s="4" t="n"/>
      <c r="N32" s="4" t="n"/>
      <c r="O32" s="4" t="n"/>
      <c r="P32" s="4" t="n"/>
      <c r="Q32" s="4" t="inlineStr">
        <is>
          <t>Não</t>
        </is>
      </c>
      <c r="R32" s="13" t="n"/>
      <c r="S32" s="4" t="n"/>
      <c r="T32" s="4" t="n"/>
      <c r="U32" s="7" t="n"/>
      <c r="V32" s="3" t="inlineStr">
        <is>
          <t>http://alerjln1.alerj.rj.gov.br/scpro2327.nsf/18c1dd68f96be3e7832566ec0018d833/c589612d90b8421f03258a2100586983?OpenDocument</t>
        </is>
      </c>
      <c r="W32" s="3">
        <f>RIGHT(C32, 4)</f>
        <v/>
      </c>
      <c r="X32" s="3">
        <f>LEFT(C32, LEN(C32) - 5)</f>
        <v/>
      </c>
    </row>
    <row r="33" ht="46.5" customHeight="1" s="79">
      <c r="A33" s="2" t="inlineStr">
        <is>
          <t>Projeto Lei</t>
        </is>
      </c>
      <c r="B33" s="4">
        <f>RIGHT(C33,4)</f>
        <v/>
      </c>
      <c r="C33" s="2" t="inlineStr">
        <is>
          <t>2917/2020</t>
        </is>
      </c>
      <c r="D33" s="2" t="inlineStr">
        <is>
          <t>ALTERA O ANEXO DA LEI Nº 5645, DE 6 DE JANEIRO DE 2010, INCLUINDO NO 
CALENDÁRIO OFICIAL DO ESTADO DO RIO DE JANEIRO A SEMANA ESTADUAL DA   CONSCIENTIZAÇÃO SOBRE A ESQUIZOFRENIA</t>
        </is>
      </c>
      <c r="E33" s="2" t="inlineStr">
        <is>
          <t>DANNIEL LIBRELON</t>
        </is>
      </c>
      <c r="F33" s="18" t="inlineStr">
        <is>
          <t>RENATO MIRANDA</t>
        </is>
      </c>
      <c r="G33" s="10" t="inlineStr">
        <is>
          <t>Sim</t>
        </is>
      </c>
      <c r="H33" s="37" t="inlineStr">
        <is>
          <t>Sim</t>
        </is>
      </c>
      <c r="I33" s="14" t="inlineStr">
        <is>
          <t>4ªRE
11/06/2025</t>
        </is>
      </c>
      <c r="J33" s="9" t="n"/>
      <c r="K33" s="4" t="n"/>
      <c r="L33" s="9" t="n"/>
      <c r="M33" s="4" t="n"/>
      <c r="N33" s="4" t="n"/>
      <c r="O33" s="4" t="n"/>
      <c r="P33" s="4" t="n"/>
      <c r="Q33" s="4" t="inlineStr">
        <is>
          <t>Não</t>
        </is>
      </c>
      <c r="R33" s="13" t="n"/>
      <c r="S33" s="4" t="n"/>
      <c r="T33" s="4" t="n"/>
      <c r="U33" s="7" t="n"/>
      <c r="V33" s="3" t="n"/>
      <c r="W33" s="3">
        <f>RIGHT(C33, 4)</f>
        <v/>
      </c>
      <c r="X33" s="3">
        <f>LEFT(C33, LEN(C33) - 5)</f>
        <v/>
      </c>
    </row>
    <row r="34" ht="75" customHeight="1" s="79">
      <c r="A34" s="2" t="inlineStr">
        <is>
          <t>Projeto Lei</t>
        </is>
      </c>
      <c r="B34" s="4">
        <f>RIGHT(C34,4)</f>
        <v/>
      </c>
      <c r="C34" s="2" t="inlineStr">
        <is>
          <t>3179/2020</t>
        </is>
      </c>
      <c r="D34" s="2" t="inlineStr">
        <is>
          <t>ALTERA O ANEXO DA LEI Nº 5645, DE 6 DE JANEIRO DE 2010, INCLUINDO NO CALENDÁRIO OFICIAL DO ESTADO DO RIO DE JANEIRO A SEMANA ESTADUAL DE SENSIBILIZAÇÃO À PERDA GESTACIONAL, NEONATAL E INFANTIL</t>
        </is>
      </c>
      <c r="E34" s="2" t="inlineStr">
        <is>
          <t>DANNIEL LIBRELON</t>
        </is>
      </c>
      <c r="F34" s="18" t="inlineStr">
        <is>
          <t>RENATO MIRANDA</t>
        </is>
      </c>
      <c r="G34" s="10" t="inlineStr">
        <is>
          <t>Sim</t>
        </is>
      </c>
      <c r="H34" s="37" t="inlineStr">
        <is>
          <t>Sim</t>
        </is>
      </c>
      <c r="I34" s="14" t="inlineStr">
        <is>
          <t>4ªRE
11/06/2025</t>
        </is>
      </c>
      <c r="J34" s="9" t="n"/>
      <c r="K34" s="9" t="n"/>
      <c r="L34" s="9" t="n"/>
      <c r="M34" s="4" t="n"/>
      <c r="N34" s="4" t="n"/>
      <c r="O34" s="4" t="n"/>
      <c r="P34" s="4" t="n"/>
      <c r="Q34" s="4" t="inlineStr">
        <is>
          <t>Não</t>
        </is>
      </c>
      <c r="R34" s="13" t="n"/>
      <c r="S34" s="4" t="n"/>
      <c r="T34" s="4" t="n"/>
      <c r="U34" s="7" t="n"/>
      <c r="V34" s="3" t="n"/>
      <c r="W34" s="3">
        <f>RIGHT(C34, 4)</f>
        <v/>
      </c>
      <c r="X34" s="3">
        <f>LEFT(C34, LEN(C34) - 5)</f>
        <v/>
      </c>
    </row>
    <row r="35" ht="60" customHeight="1" s="79">
      <c r="A35" s="2" t="inlineStr">
        <is>
          <t>Projeto Lei</t>
        </is>
      </c>
      <c r="B35" s="4">
        <f>RIGHT(C35,4)</f>
        <v/>
      </c>
      <c r="C35" s="2" t="inlineStr">
        <is>
          <t>3858/2021</t>
        </is>
      </c>
      <c r="D35" s="2" t="inlineStr">
        <is>
          <t>ASSEGURA, IRRESTRITAMENTE, O DIREITO CONSTITUCIONAL DE MANIFESTAÇÃO E DE REUNIÃO NO ESTADO DO RIO DE JANEIRO E DÁ OUTRAS MEDIDAS</t>
        </is>
      </c>
      <c r="E35" s="2" t="inlineStr">
        <is>
          <t>ANDERSON MORAES</t>
        </is>
      </c>
      <c r="F35" s="18" t="inlineStr">
        <is>
          <t>RENATO MIRANDA</t>
        </is>
      </c>
      <c r="G35" s="10" t="inlineStr">
        <is>
          <t>Sim</t>
        </is>
      </c>
      <c r="H35" s="37" t="inlineStr">
        <is>
          <t>Sim</t>
        </is>
      </c>
      <c r="I35" s="14" t="inlineStr">
        <is>
          <t>4ªRE
11/06/2025</t>
        </is>
      </c>
      <c r="J35" s="9" t="n"/>
      <c r="K35" s="9" t="n"/>
      <c r="L35" s="9" t="n"/>
      <c r="M35" s="4" t="n"/>
      <c r="N35" s="4" t="n"/>
      <c r="O35" s="4" t="n"/>
      <c r="P35" s="4" t="n"/>
      <c r="Q35" s="4" t="inlineStr">
        <is>
          <t>Não</t>
        </is>
      </c>
      <c r="R35" s="13" t="n"/>
      <c r="S35" s="4" t="n"/>
      <c r="T35" s="4" t="n"/>
      <c r="U35" s="7" t="n"/>
      <c r="V35" s="3" t="n"/>
      <c r="W35" s="3">
        <f>RIGHT(C35, 4)</f>
        <v/>
      </c>
      <c r="X35" s="3">
        <f>LEFT(C35, LEN(C35) - 5)</f>
        <v/>
      </c>
    </row>
    <row r="36" ht="60" customHeight="1" s="79">
      <c r="A36" s="2" t="inlineStr">
        <is>
          <t>Projeto Lei</t>
        </is>
      </c>
      <c r="B36" s="4">
        <f>RIGHT(C36,4)</f>
        <v/>
      </c>
      <c r="C36" s="2" t="inlineStr">
        <is>
          <t>4676/2021</t>
        </is>
      </c>
      <c r="D36" s="2" t="inlineStr">
        <is>
          <t>ALTERA O ANEXO DA LEI Nº 5645, DE 6 DE JANEIRO DE 2010, INCLUINDO NO CALENDÁRIO OFICIAL DO ESTADO DO RIO DE JANEIRO A SEMANA ESTADUAL DA EDUCAÇÃO PARALÍMPICA</t>
        </is>
      </c>
      <c r="E36" s="2" t="inlineStr">
        <is>
          <t>DANNIEL LIBRELON</t>
        </is>
      </c>
      <c r="F36" s="18" t="inlineStr">
        <is>
          <t>RENATO MIRANDA</t>
        </is>
      </c>
      <c r="G36" s="10" t="inlineStr">
        <is>
          <t>Sim</t>
        </is>
      </c>
      <c r="H36" s="37" t="inlineStr">
        <is>
          <t>Sim</t>
        </is>
      </c>
      <c r="I36" s="14" t="inlineStr">
        <is>
          <t>4ªRE
11/06/2025</t>
        </is>
      </c>
      <c r="J36" s="9" t="n"/>
      <c r="K36" s="9" t="n"/>
      <c r="L36" s="9" t="n"/>
      <c r="M36" s="9" t="n"/>
      <c r="N36" s="9" t="n"/>
      <c r="O36" s="9" t="n"/>
      <c r="P36" s="9" t="n"/>
      <c r="Q36" s="4" t="inlineStr">
        <is>
          <t>Não</t>
        </is>
      </c>
      <c r="R36" s="13" t="n"/>
      <c r="S36" s="4" t="n"/>
      <c r="T36" s="4" t="n"/>
      <c r="U36" s="7" t="n"/>
      <c r="V36" s="3" t="n"/>
      <c r="W36" s="3">
        <f>RIGHT(C36, 4)</f>
        <v/>
      </c>
      <c r="X36" s="3">
        <f>LEFT(C36, LEN(C36) - 5)</f>
        <v/>
      </c>
    </row>
    <row r="37" ht="60" customHeight="1" s="79">
      <c r="A37" s="2" t="inlineStr">
        <is>
          <t>Projeto Lei</t>
        </is>
      </c>
      <c r="B37" s="4">
        <f>RIGHT(C37,4)</f>
        <v/>
      </c>
      <c r="C37" s="2" t="inlineStr">
        <is>
          <t>5312/2022</t>
        </is>
      </c>
      <c r="D37" s="2" t="inlineStr">
        <is>
          <t>ALTERA A LEI ESTADUAL Nº 8355, DE 01 DE ABRIL DE 2019, QUE DISPÕE SOBRE O DIREITO DE AMAMENTAR DURANTE A REALIZAÇÃO DE CONCURSOS PÚBLICOS ESTADUAIS E DÁ OUTRAS PROVIDÊNCIAS</t>
        </is>
      </c>
      <c r="E37" s="2" t="inlineStr">
        <is>
          <t>ROSENVERG REIS</t>
        </is>
      </c>
      <c r="F37" s="18" t="inlineStr">
        <is>
          <t>RENATO MIRANDA</t>
        </is>
      </c>
      <c r="G37" s="10" t="inlineStr">
        <is>
          <t>Sim</t>
        </is>
      </c>
      <c r="H37" s="37" t="inlineStr">
        <is>
          <t>Sim</t>
        </is>
      </c>
      <c r="I37" s="14" t="inlineStr">
        <is>
          <t>4ªRE
11/06/2025</t>
        </is>
      </c>
      <c r="J37" s="9" t="n"/>
      <c r="K37" s="4" t="n"/>
      <c r="L37" s="9" t="n"/>
      <c r="M37" s="4" t="n"/>
      <c r="N37" s="4" t="n"/>
      <c r="O37" s="4" t="n"/>
      <c r="P37" s="4" t="n"/>
      <c r="Q37" s="12" t="inlineStr">
        <is>
          <t>Não</t>
        </is>
      </c>
      <c r="R37" s="13" t="n"/>
      <c r="S37" s="4" t="n"/>
      <c r="T37" s="4" t="n"/>
      <c r="U37" s="7" t="n"/>
      <c r="V37" s="3" t="n"/>
      <c r="W37" s="3">
        <f>RIGHT(C37, 4)</f>
        <v/>
      </c>
      <c r="X37" s="3">
        <f>LEFT(C37, LEN(C37) - 5)</f>
        <v/>
      </c>
    </row>
    <row r="38" ht="90" customHeight="1" s="79">
      <c r="A38" s="2" t="inlineStr">
        <is>
          <t>Projeto Lei</t>
        </is>
      </c>
      <c r="B38" s="4">
        <f>RIGHT(C38,4)</f>
        <v/>
      </c>
      <c r="C38" s="2" t="inlineStr">
        <is>
          <t>5745/2022</t>
        </is>
      </c>
      <c r="D38" s="2" t="inlineStr">
        <is>
          <t>INSTITUI, EM CARÁTER OBRIGATÓRIO NA GRADE CURRICULAR DE ENSINO FUNDAMENTAL II E ENSINO MÉDIO DA REDE PÚBLICA E PARTICULAR DO ESTADO DO RIO DE JANEIRO, A DISCIPLINA NOÇÕES DE TEORIA GERAL DO ESTADO- PARTE GERAL DO DIREITO CONSTITUCIONAL</t>
        </is>
      </c>
      <c r="E38" s="2" t="inlineStr">
        <is>
          <t>MARTHA ROCHA</t>
        </is>
      </c>
      <c r="F38" s="18" t="inlineStr">
        <is>
          <t>RENATO MIRANDA</t>
        </is>
      </c>
      <c r="G38" s="10" t="inlineStr">
        <is>
          <t>Sim</t>
        </is>
      </c>
      <c r="H38" s="37" t="inlineStr">
        <is>
          <t>Sim</t>
        </is>
      </c>
      <c r="I38" s="14" t="inlineStr">
        <is>
          <t>4ªRE
11/06/2025</t>
        </is>
      </c>
      <c r="J38" s="9" t="n"/>
      <c r="K38" s="4" t="n"/>
      <c r="L38" s="9" t="n"/>
      <c r="M38" s="4" t="n"/>
      <c r="N38" s="4" t="n"/>
      <c r="O38" s="4" t="n"/>
      <c r="P38" s="4" t="n"/>
      <c r="Q38" s="4" t="inlineStr">
        <is>
          <t>Não</t>
        </is>
      </c>
      <c r="R38" s="13" t="n"/>
      <c r="S38" s="4" t="n"/>
      <c r="T38" s="4" t="n"/>
      <c r="U38" s="7" t="n"/>
      <c r="V38" s="3" t="n"/>
      <c r="W38" s="3">
        <f>RIGHT(C38, 4)</f>
        <v/>
      </c>
      <c r="X38" s="3">
        <f>LEFT(C38, LEN(C38) - 5)</f>
        <v/>
      </c>
    </row>
    <row r="39" ht="60" customHeight="1" s="79">
      <c r="A39" s="2" t="inlineStr">
        <is>
          <t>Projeto Lei</t>
        </is>
      </c>
      <c r="B39" s="4">
        <f>RIGHT(C39,4)</f>
        <v/>
      </c>
      <c r="C39" s="2" t="inlineStr">
        <is>
          <t>6295/2022</t>
        </is>
      </c>
      <c r="D39" s="2" t="inlineStr">
        <is>
          <t>INSTITUI O PROGRAMA “ÓCULOS FALANTES” PARA OS DEFICIENTES VISUAIS NAS BIBLIOTECAS E NA REDE PÚBLICA DE EDUCAÇÃO DO ESTADO DO RIO DE JANEIRO</t>
        </is>
      </c>
      <c r="E39" s="2" t="inlineStr">
        <is>
          <t>DR DEODALTO</t>
        </is>
      </c>
      <c r="F39" s="18" t="inlineStr">
        <is>
          <t>RENATO MIRANDA</t>
        </is>
      </c>
      <c r="G39" s="10" t="inlineStr">
        <is>
          <t>Sim</t>
        </is>
      </c>
      <c r="H39" s="37" t="inlineStr">
        <is>
          <t>Sim</t>
        </is>
      </c>
      <c r="I39" s="14" t="inlineStr">
        <is>
          <t>4ªRE
11/06/2025</t>
        </is>
      </c>
      <c r="J39" s="9" t="n"/>
      <c r="K39" s="9" t="n"/>
      <c r="L39" s="9" t="n"/>
      <c r="M39" s="4" t="n"/>
      <c r="N39" s="4" t="n"/>
      <c r="O39" s="4" t="n"/>
      <c r="P39" s="4" t="n"/>
      <c r="Q39" s="4" t="inlineStr">
        <is>
          <t>Não</t>
        </is>
      </c>
      <c r="R39" s="13" t="n"/>
      <c r="S39" s="4" t="n"/>
      <c r="T39" s="4" t="n"/>
      <c r="U39" s="7" t="n"/>
      <c r="V39" s="3" t="n"/>
      <c r="W39" s="3">
        <f>RIGHT(C39, 4)</f>
        <v/>
      </c>
      <c r="X39" s="3">
        <f>LEFT(C39, LEN(C39) - 5)</f>
        <v/>
      </c>
    </row>
    <row r="40" ht="105" customHeight="1" s="79">
      <c r="A40" s="2" t="inlineStr">
        <is>
          <t>Projeto Lei</t>
        </is>
      </c>
      <c r="B40" s="4">
        <f>RIGHT(C40,4)</f>
        <v/>
      </c>
      <c r="C40" s="2" t="inlineStr">
        <is>
          <t>6434/2022</t>
        </is>
      </c>
      <c r="D40" s="2" t="inlineStr">
        <is>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is>
      </c>
      <c r="E40" s="2" t="inlineStr">
        <is>
          <t>FRANCIANE MOTTA</t>
        </is>
      </c>
      <c r="F40" s="18" t="inlineStr">
        <is>
          <t>RENATO MIRANDA</t>
        </is>
      </c>
      <c r="G40" s="10" t="inlineStr">
        <is>
          <t>Sim</t>
        </is>
      </c>
      <c r="H40" s="37" t="inlineStr">
        <is>
          <t>Sim</t>
        </is>
      </c>
      <c r="I40" s="14" t="inlineStr">
        <is>
          <t>4ªRE
11/06/2025</t>
        </is>
      </c>
      <c r="J40" s="9" t="n"/>
      <c r="K40" s="9" t="n"/>
      <c r="L40" s="9" t="n"/>
      <c r="M40" s="9" t="n"/>
      <c r="N40" s="9" t="n"/>
      <c r="O40" s="9" t="n"/>
      <c r="P40" s="9" t="n"/>
      <c r="Q40" s="4" t="inlineStr">
        <is>
          <t>Não</t>
        </is>
      </c>
      <c r="R40" s="13" t="n"/>
      <c r="S40" s="4" t="n"/>
      <c r="T40" s="4" t="n"/>
      <c r="U40" s="7" t="n"/>
      <c r="V40" s="3" t="n"/>
      <c r="W40" s="3">
        <f>RIGHT(C40, 4)</f>
        <v/>
      </c>
      <c r="X40" s="3">
        <f>LEFT(C40, LEN(C40) - 5)</f>
        <v/>
      </c>
    </row>
    <row r="41" ht="30" customHeight="1" s="79">
      <c r="A41" s="2" t="inlineStr">
        <is>
          <t>Projeto Lei</t>
        </is>
      </c>
      <c r="B41" s="4">
        <f>RIGHT(C41,4)</f>
        <v/>
      </c>
      <c r="C41" s="2" t="inlineStr">
        <is>
          <t>321/2023</t>
        </is>
      </c>
      <c r="D41" s="2" t="inlineStr">
        <is>
          <t>INSTITUI O PROGRAMA IDOSO ATIVO, NO ÂMBITO DO ESTADO DO RIO DE JANEIRO</t>
        </is>
      </c>
      <c r="E41" s="2" t="inlineStr">
        <is>
          <t>FRED PACHECO</t>
        </is>
      </c>
      <c r="F41" s="18" t="inlineStr">
        <is>
          <t>RENATO MIRANDA</t>
        </is>
      </c>
      <c r="G41" s="10" t="inlineStr">
        <is>
          <t>Sim</t>
        </is>
      </c>
      <c r="H41" s="37" t="inlineStr">
        <is>
          <t>Sim</t>
        </is>
      </c>
      <c r="I41" s="14" t="inlineStr">
        <is>
          <t>4ªRE
11/06/2025</t>
        </is>
      </c>
      <c r="J41" s="9" t="n"/>
      <c r="K41" s="9" t="n"/>
      <c r="L41" s="9" t="n"/>
      <c r="M41" s="9" t="n"/>
      <c r="N41" s="9" t="n"/>
      <c r="O41" s="9" t="n"/>
      <c r="P41" s="9" t="n"/>
      <c r="Q41" s="4" t="inlineStr">
        <is>
          <t>Não</t>
        </is>
      </c>
      <c r="R41" s="2" t="n"/>
      <c r="S41" s="4" t="n"/>
      <c r="T41" s="4" t="n"/>
      <c r="U41" s="7" t="n"/>
      <c r="V41" s="3" t="n"/>
      <c r="W41" s="3">
        <f>RIGHT(C41, 4)</f>
        <v/>
      </c>
      <c r="X41" s="3">
        <f>LEFT(C41, LEN(C41) - 5)</f>
        <v/>
      </c>
    </row>
    <row r="42" ht="45" customHeight="1" s="79">
      <c r="A42" s="2" t="inlineStr">
        <is>
          <t>Projeto Lei</t>
        </is>
      </c>
      <c r="B42" s="4">
        <f>RIGHT(C42,4)</f>
        <v/>
      </c>
      <c r="C42" s="2" t="inlineStr">
        <is>
          <t>374/2023</t>
        </is>
      </c>
      <c r="D42" s="2" t="inlineStr">
        <is>
          <t>INSTITUI NO ÂMBITO DO RIO DE JANEIRO O PROGRAMA ORQUESTRA NAS ESCOLAS E DÁ OUTRAS PROVIDÊNCIAS</t>
        </is>
      </c>
      <c r="E42" s="2" t="inlineStr">
        <is>
          <t>MARTHA ROCHA</t>
        </is>
      </c>
      <c r="F42" s="18" t="inlineStr">
        <is>
          <t>RENATO MIRANDA</t>
        </is>
      </c>
      <c r="G42" s="10" t="inlineStr">
        <is>
          <t>Sim</t>
        </is>
      </c>
      <c r="H42" s="37" t="inlineStr">
        <is>
          <t>Sim</t>
        </is>
      </c>
      <c r="I42" s="14" t="inlineStr">
        <is>
          <t>4ªRE
11/06/2025</t>
        </is>
      </c>
      <c r="J42" s="4" t="n"/>
      <c r="K42" s="4" t="n"/>
      <c r="L42" s="9" t="n"/>
      <c r="M42" s="4" t="n"/>
      <c r="N42" s="4" t="n"/>
      <c r="O42" s="4" t="n"/>
      <c r="P42" s="4" t="n"/>
      <c r="Q42" s="4" t="inlineStr">
        <is>
          <t>Não</t>
        </is>
      </c>
      <c r="R42" s="2" t="n"/>
      <c r="S42" s="4" t="n"/>
      <c r="T42" s="4" t="n"/>
      <c r="U42" s="7" t="n"/>
      <c r="V42" s="3" t="n"/>
      <c r="W42" s="3">
        <f>RIGHT(C42, 4)</f>
        <v/>
      </c>
      <c r="X42" s="3">
        <f>LEFT(C42, LEN(C42) - 5)</f>
        <v/>
      </c>
    </row>
    <row r="43" ht="75" customHeight="1" s="79">
      <c r="A43" s="2" t="inlineStr">
        <is>
          <t>Projeto Lei</t>
        </is>
      </c>
      <c r="B43" s="4">
        <f>RIGHT(C43,4)</f>
        <v/>
      </c>
      <c r="C43" s="2" t="inlineStr">
        <is>
          <t>903/2023</t>
        </is>
      </c>
      <c r="D43" s="2" t="inlineStr">
        <is>
          <t>INSTITUI O SERVIÇO PERMANENTE, VIA APLICATIVO, PARA RECEBER DENÚNCIA DE VIOLÊNCIA PRATICADA CONTRA CRIANÇAS E ADOLESCENTES, NO ÂMBITO DA ESFERA GOVERNAMENTAL DO ESTADO DO RIO DE JANEIRO</t>
        </is>
      </c>
      <c r="E43" s="2" t="inlineStr">
        <is>
          <t>VINÍCIUS COZZOLINO</t>
        </is>
      </c>
      <c r="F43" s="18" t="inlineStr">
        <is>
          <t>RENATO MIRANDA</t>
        </is>
      </c>
      <c r="G43" s="10" t="inlineStr">
        <is>
          <t>Sim</t>
        </is>
      </c>
      <c r="H43" s="37" t="inlineStr">
        <is>
          <t>Sim</t>
        </is>
      </c>
      <c r="I43" s="14" t="inlineStr">
        <is>
          <t>4ªRE
11/06/2025</t>
        </is>
      </c>
      <c r="J43" s="9" t="n"/>
      <c r="K43" s="9" t="n"/>
      <c r="L43" s="9" t="n"/>
      <c r="M43" s="9" t="n"/>
      <c r="N43" s="9" t="n"/>
      <c r="O43" s="9" t="n"/>
      <c r="P43" s="9" t="n"/>
      <c r="Q43" s="4" t="inlineStr">
        <is>
          <t>Não</t>
        </is>
      </c>
      <c r="R43" s="13" t="inlineStr">
        <is>
          <t>TEM APENSO</t>
        </is>
      </c>
      <c r="S43" s="4" t="n"/>
      <c r="T43" s="4" t="n"/>
      <c r="U43" s="7" t="n"/>
      <c r="V43" s="3" t="n"/>
      <c r="W43" s="3">
        <f>RIGHT(C43, 4)</f>
        <v/>
      </c>
      <c r="X43" s="3">
        <f>LEFT(C43, LEN(C43) - 5)</f>
        <v/>
      </c>
    </row>
    <row r="44" ht="45" customHeight="1" s="79">
      <c r="A44" s="2" t="inlineStr">
        <is>
          <t>Projeto Lei</t>
        </is>
      </c>
      <c r="B44" s="4">
        <f>RIGHT(C44,4)</f>
        <v/>
      </c>
      <c r="C44" s="2" t="inlineStr">
        <is>
          <t>1026/2023</t>
        </is>
      </c>
      <c r="D44" s="2" t="inlineStr">
        <is>
          <t>CRIA O PROGRAMA DE DOAÇÃO DE SENSORES DE GLICOSE LIBRE FREESTYLE, PARA PORTADORES DE DIABETES DO ESTADO DO RIO DE JANEIRO</t>
        </is>
      </c>
      <c r="E44" s="2" t="inlineStr">
        <is>
          <t>VINÍCIUS COZZOLINO</t>
        </is>
      </c>
      <c r="F44" s="18" t="inlineStr">
        <is>
          <t>RENATO MIRANDA</t>
        </is>
      </c>
      <c r="G44" s="10" t="inlineStr">
        <is>
          <t>Sim</t>
        </is>
      </c>
      <c r="H44" s="37" t="inlineStr">
        <is>
          <t>Sim</t>
        </is>
      </c>
      <c r="I44" s="14" t="inlineStr">
        <is>
          <t>4ªRE
11/06/2025</t>
        </is>
      </c>
      <c r="J44" s="9" t="n"/>
      <c r="K44" s="4" t="n"/>
      <c r="L44" s="9" t="n"/>
      <c r="M44" s="4" t="n"/>
      <c r="N44" s="4" t="n"/>
      <c r="O44" s="4" t="n"/>
      <c r="P44" s="4" t="n"/>
      <c r="Q44" s="4" t="inlineStr">
        <is>
          <t>Não</t>
        </is>
      </c>
      <c r="R44" s="13" t="n"/>
      <c r="S44" s="4" t="n"/>
      <c r="T44" s="4" t="n"/>
      <c r="U44" s="7" t="n"/>
      <c r="V44" s="3" t="n"/>
      <c r="W44" s="3">
        <f>RIGHT(C44, 4)</f>
        <v/>
      </c>
      <c r="X44" s="3">
        <f>LEFT(C44, LEN(C44) - 5)</f>
        <v/>
      </c>
    </row>
    <row r="45" ht="45" customHeight="1" s="79">
      <c r="A45" s="2" t="inlineStr">
        <is>
          <t>Projeto Lei</t>
        </is>
      </c>
      <c r="B45" s="4">
        <f>RIGHT(C45,4)</f>
        <v/>
      </c>
      <c r="C45" s="2" t="inlineStr">
        <is>
          <t>1079/2023</t>
        </is>
      </c>
      <c r="D45" s="2" t="inlineStr">
        <is>
          <t>DISPÕE SOBRE A OBRIGATORIEDADE DE ACESSIBILIDADE DOS SITES PÚBLICOS E PRIVADOS NO ÂMBITO DO ESTADO DO RIO DE JANEIRO</t>
        </is>
      </c>
      <c r="E45" s="2" t="inlineStr">
        <is>
          <t>FRED PACHECO</t>
        </is>
      </c>
      <c r="F45" s="18" t="inlineStr">
        <is>
          <t>RENATO MIRANDA</t>
        </is>
      </c>
      <c r="G45" s="10" t="inlineStr">
        <is>
          <t>Sim</t>
        </is>
      </c>
      <c r="H45" s="37" t="inlineStr">
        <is>
          <t>Sim</t>
        </is>
      </c>
      <c r="I45" s="14" t="inlineStr">
        <is>
          <t>4ªRE
11/06/2025</t>
        </is>
      </c>
      <c r="J45" s="9" t="n"/>
      <c r="K45" s="4" t="n"/>
      <c r="L45" s="9" t="n"/>
      <c r="M45" s="4" t="n"/>
      <c r="N45" s="4" t="n"/>
      <c r="O45" s="4" t="n"/>
      <c r="P45" s="4" t="n"/>
      <c r="Q45" s="4" t="inlineStr">
        <is>
          <t>Não</t>
        </is>
      </c>
      <c r="R45" s="13" t="n"/>
      <c r="S45" s="4" t="n"/>
      <c r="T45" s="4" t="n"/>
      <c r="U45" s="7" t="n"/>
      <c r="V45" s="3" t="n"/>
      <c r="W45" s="3">
        <f>RIGHT(C45, 4)</f>
        <v/>
      </c>
      <c r="X45" s="3">
        <f>LEFT(C45, LEN(C45) - 5)</f>
        <v/>
      </c>
    </row>
    <row r="46" ht="60" customHeight="1" s="79">
      <c r="A46" s="2" t="inlineStr">
        <is>
          <t>Projeto Lei</t>
        </is>
      </c>
      <c r="B46" s="4">
        <f>RIGHT(C46,4)</f>
        <v/>
      </c>
      <c r="C46" s="2" t="inlineStr">
        <is>
          <t>1189/2023</t>
        </is>
      </c>
      <c r="D46" s="2" t="inlineStr">
        <is>
          <t>DECLARA O “CONTAÇÃO DE HISTÓRIAS EM ESPAÇO PÚBLICO” –, COMO PATRIMÔNIO IMATERIAL, HISTÓRICO E CULTURAL, DO ESTADO DO RIO DE JANEIRO</t>
        </is>
      </c>
      <c r="E46" s="2" t="inlineStr">
        <is>
          <t>ELIKA TAKIMOTO</t>
        </is>
      </c>
      <c r="F46" s="18" t="inlineStr">
        <is>
          <t>RENATO MIRANDA</t>
        </is>
      </c>
      <c r="G46" s="10" t="inlineStr">
        <is>
          <t>Sim</t>
        </is>
      </c>
      <c r="H46" s="37" t="inlineStr">
        <is>
          <t>Sim</t>
        </is>
      </c>
      <c r="I46" s="14" t="inlineStr">
        <is>
          <t>4ªRE
11/06/2025</t>
        </is>
      </c>
      <c r="J46" s="9" t="n"/>
      <c r="K46" s="4" t="n"/>
      <c r="L46" s="9" t="n"/>
      <c r="M46" s="4" t="n"/>
      <c r="N46" s="4" t="n"/>
      <c r="O46" s="4" t="n"/>
      <c r="P46" s="4" t="n"/>
      <c r="Q46" s="4" t="inlineStr">
        <is>
          <t>Não</t>
        </is>
      </c>
      <c r="R46" s="13" t="n"/>
      <c r="S46" s="4" t="n"/>
      <c r="T46" s="4" t="n"/>
      <c r="U46" s="7" t="n"/>
      <c r="V46" s="3" t="n"/>
      <c r="W46" s="3">
        <f>RIGHT(C46, 4)</f>
        <v/>
      </c>
      <c r="X46" s="3">
        <f>LEFT(C46, LEN(C46) - 5)</f>
        <v/>
      </c>
    </row>
    <row r="47" ht="45" customHeight="1" s="79">
      <c r="A47" s="2" t="inlineStr">
        <is>
          <t>Projeto Lei</t>
        </is>
      </c>
      <c r="B47" s="4">
        <f>RIGHT(C47,4)</f>
        <v/>
      </c>
      <c r="C47" s="2" t="inlineStr">
        <is>
          <t>1234/2023</t>
        </is>
      </c>
      <c r="D47" s="2" t="inlineStr">
        <is>
          <t>ALTERA A LEI Nº 3.852, DE 14 DE JUNHO DE 2002, QUE DISPÕE SOBRE A PUBLICIDADE OFICIAL DO ESTADO DO RIO DE JANEIRO, NA FORMA QUE MENCIONA</t>
        </is>
      </c>
      <c r="E47" s="2" t="inlineStr">
        <is>
          <t>ALAN LOPES</t>
        </is>
      </c>
      <c r="F47" s="18" t="inlineStr">
        <is>
          <t>RENATO MIRANDA</t>
        </is>
      </c>
      <c r="G47" s="10" t="inlineStr">
        <is>
          <t>Sim</t>
        </is>
      </c>
      <c r="H47" s="37" t="inlineStr">
        <is>
          <t>Sim</t>
        </is>
      </c>
      <c r="I47" s="14" t="inlineStr">
        <is>
          <t>4ªRE
11/06/2025</t>
        </is>
      </c>
      <c r="J47" s="9" t="n"/>
      <c r="K47" s="4" t="n"/>
      <c r="L47" s="9" t="n"/>
      <c r="M47" s="4" t="n"/>
      <c r="N47" s="4" t="n"/>
      <c r="O47" s="4" t="n"/>
      <c r="P47" s="4" t="n"/>
      <c r="Q47" s="4" t="inlineStr">
        <is>
          <t>Não</t>
        </is>
      </c>
      <c r="R47" s="13" t="n"/>
      <c r="S47" s="4" t="n"/>
      <c r="T47" s="4" t="n"/>
      <c r="U47" s="7" t="n"/>
      <c r="V47" s="3" t="n"/>
      <c r="W47" s="3">
        <f>RIGHT(C47, 4)</f>
        <v/>
      </c>
      <c r="X47" s="3">
        <f>LEFT(C47, LEN(C47) - 5)</f>
        <v/>
      </c>
    </row>
    <row r="48" ht="45" customHeight="1" s="79">
      <c r="A48" s="2" t="inlineStr">
        <is>
          <t>Projeto Lei</t>
        </is>
      </c>
      <c r="B48" s="4">
        <f>RIGHT(C48,4)</f>
        <v/>
      </c>
      <c r="C48" s="2" t="inlineStr">
        <is>
          <t>2714/2023</t>
        </is>
      </c>
      <c r="D48" s="2" t="inlineStr">
        <is>
          <t>PERMITE O USO DE BENS IMÓVEIS E TERRENOS ESTADUAIS POR GRUPOS DE ESCOTEIROS E NÚCLEOS DE BANDEIRANTES</t>
        </is>
      </c>
      <c r="E48" s="2" t="inlineStr">
        <is>
          <t>FRED PACHECO</t>
        </is>
      </c>
      <c r="F48" s="18" t="inlineStr">
        <is>
          <t>RENATO MIRANDA</t>
        </is>
      </c>
      <c r="G48" s="10" t="inlineStr">
        <is>
          <t>Sim</t>
        </is>
      </c>
      <c r="H48" s="37" t="inlineStr">
        <is>
          <t>Sim</t>
        </is>
      </c>
      <c r="I48" s="14" t="inlineStr">
        <is>
          <t>4ªRE
11/06/2025</t>
        </is>
      </c>
      <c r="J48" s="9" t="n"/>
      <c r="K48" s="4" t="n"/>
      <c r="L48" s="9" t="n"/>
      <c r="M48" s="4" t="n"/>
      <c r="N48" s="4" t="n"/>
      <c r="O48" s="4" t="n"/>
      <c r="P48" s="4" t="n"/>
      <c r="Q48" s="4" t="inlineStr">
        <is>
          <t>Não</t>
        </is>
      </c>
      <c r="R48" s="13" t="n"/>
      <c r="S48" s="4" t="n"/>
      <c r="T48" s="4" t="n"/>
      <c r="U48" s="7" t="n"/>
      <c r="V48" s="3" t="n"/>
      <c r="W48" s="3">
        <f>RIGHT(C48, 4)</f>
        <v/>
      </c>
      <c r="X48" s="3">
        <f>LEFT(C48, LEN(C48) - 5)</f>
        <v/>
      </c>
    </row>
    <row r="49" ht="45" customHeight="1" s="79">
      <c r="A49" s="2" t="inlineStr">
        <is>
          <t>Projeto Lei</t>
        </is>
      </c>
      <c r="B49" s="4">
        <f>RIGHT(C49,4)</f>
        <v/>
      </c>
      <c r="C49" s="2" t="inlineStr">
        <is>
          <t>3012/2024</t>
        </is>
      </c>
      <c r="D49" s="2" t="inlineStr">
        <is>
          <t>DECLARA A FOCUS COMPANHIA DE DANÇA COMO PATRIMÔNIO HISTÓRICO CULTURAL E ARTÍSTICO DE NATUREZA IMATERIAL DO ESTADO DO RIO DE JANEIRO</t>
        </is>
      </c>
      <c r="E49" s="2" t="inlineStr">
        <is>
          <t>ELIKA TAKIMOTO</t>
        </is>
      </c>
      <c r="F49" s="18" t="inlineStr">
        <is>
          <t>RENATO MIRANDA</t>
        </is>
      </c>
      <c r="G49" s="10" t="inlineStr">
        <is>
          <t>Sim</t>
        </is>
      </c>
      <c r="H49" s="37" t="inlineStr">
        <is>
          <t>Sim</t>
        </is>
      </c>
      <c r="I49" s="14" t="inlineStr">
        <is>
          <t>4ªRE
11/06/2025</t>
        </is>
      </c>
      <c r="J49" s="9" t="n"/>
      <c r="K49" s="4" t="n"/>
      <c r="L49" s="9" t="n"/>
      <c r="M49" s="4" t="n"/>
      <c r="N49" s="4" t="n"/>
      <c r="O49" s="4" t="n"/>
      <c r="P49" s="4" t="n"/>
      <c r="Q49" s="12" t="inlineStr">
        <is>
          <t>Não</t>
        </is>
      </c>
      <c r="R49" s="13" t="n"/>
      <c r="S49" s="4" t="n"/>
      <c r="T49" s="4" t="n"/>
      <c r="U49" s="7" t="n"/>
      <c r="V49" s="3" t="n"/>
      <c r="W49" s="3">
        <f>RIGHT(C49, 4)</f>
        <v/>
      </c>
      <c r="X49" s="3">
        <f>LEFT(C49, LEN(C49) - 5)</f>
        <v/>
      </c>
    </row>
    <row r="50" ht="90" customHeight="1" s="79">
      <c r="A50" s="2" t="inlineStr">
        <is>
          <t>Projeto Lei</t>
        </is>
      </c>
      <c r="B50" s="4">
        <f>RIGHT(C50,4)</f>
        <v/>
      </c>
      <c r="C50" s="73" t="inlineStr">
        <is>
          <t>6164/2022</t>
        </is>
      </c>
      <c r="D50" s="2" t="inlineStr">
        <is>
          <t>ALTERA A LEI Nº 8.685 DE 23 DE DEZEMBRO DE 2019; A LEI Nº 5.577 DE 20 DE NOVEMBRO DE 2009; A LEI Nº 3.778, DE 15 DE MARÇO DE 2002 E DISPÕE SOBRE O ENSINO E A PRÁTICA DA CAPOEIRA NAS ATIVIDADES ESCOLARES DA REDE PÚBLICA ESTADUAL, NA FORMA QUE MENCIONA.</t>
        </is>
      </c>
      <c r="E50" s="2" t="inlineStr">
        <is>
          <t>CARLOS MINC</t>
        </is>
      </c>
      <c r="F50" s="18" t="n"/>
      <c r="G50" s="10" t="n"/>
      <c r="H50" s="37" t="n"/>
      <c r="I50" s="14" t="inlineStr">
        <is>
          <t>PLENÁRIO</t>
        </is>
      </c>
      <c r="J50" s="9" t="n">
        <v>45819</v>
      </c>
      <c r="K50" s="4" t="n"/>
      <c r="L50" s="9" t="n"/>
      <c r="M50" s="9" t="n">
        <v>46160</v>
      </c>
      <c r="N50" s="4" t="n"/>
      <c r="O50" s="4" t="n"/>
      <c r="P50" s="4" t="n"/>
      <c r="Q50" s="12" t="inlineStr">
        <is>
          <t>Não</t>
        </is>
      </c>
      <c r="R50" s="13" t="inlineStr">
        <is>
          <t>Fui ao gabinete em 13/04/2026 e anotei esses projeto parados lá
Retirei do gab. Do relator ANDRÉ CORREA, pois mudou a composição da Com.
** Retirado em 18/05 para ir a plenário</t>
        </is>
      </c>
      <c r="S50" s="4" t="n"/>
      <c r="T50" s="4" t="n"/>
      <c r="U50" s="7" t="n"/>
      <c r="V50" s="3" t="inlineStr">
        <is>
          <t>http://alerjln1.alerj.rj.gov.br/scpro1923.nsf/18c1dd68f96be3e7832566ec0018d833/530e3234f10255fc0325887100676e30?OpenDocument</t>
        </is>
      </c>
      <c r="W50" s="3">
        <f>RIGHT(C50, 4)</f>
        <v/>
      </c>
      <c r="X50" s="3">
        <f>LEFT(C50, LEN(C50) - 5)</f>
        <v/>
      </c>
    </row>
    <row r="51" ht="75" customHeight="1" s="79">
      <c r="A51" s="2" t="inlineStr">
        <is>
          <t>Projeto Lei</t>
        </is>
      </c>
      <c r="B51" s="4">
        <f>RIGHT(C51,4)</f>
        <v/>
      </c>
      <c r="C51" s="73" t="inlineStr">
        <is>
          <t>663/2023</t>
        </is>
      </c>
      <c r="D51" s="2" t="inlineStr">
        <is>
          <t>ALTERA O ANEXO DA LEI Nº 5.645, DE 6 DE JANEIRO DE 2010, INCLUINDO, NO CALENDÁRIO OFICIAL DO ESTADO DO RIO DE JANEIRO, A SEMANA DE COMUNICAÇÃO E MÍDIAS , COMO FOMENTO PARA REFLEXÕES SOBRE O SEU PAPEL NA EDUCAÇÃO.</t>
        </is>
      </c>
      <c r="E51" s="2" t="inlineStr">
        <is>
          <t>MUNIR NETO</t>
        </is>
      </c>
      <c r="F51" s="18" t="inlineStr">
        <is>
          <t>BRUNO DAUAIRE</t>
        </is>
      </c>
      <c r="G51" s="10" t="n"/>
      <c r="H51" s="37" t="n"/>
      <c r="I51" s="14" t="n"/>
      <c r="J51" s="9" t="n">
        <v>45819</v>
      </c>
      <c r="K51" s="9" t="n">
        <v>46168</v>
      </c>
      <c r="L51" s="9" t="n"/>
      <c r="M51" s="4" t="n"/>
      <c r="N51" s="4" t="n"/>
      <c r="O51" s="4" t="n"/>
      <c r="P51" s="4" t="n"/>
      <c r="Q51" s="4" t="inlineStr">
        <is>
          <t>Sim</t>
        </is>
      </c>
      <c r="R51" s="13" t="inlineStr">
        <is>
          <t>Fui ao gabinete em 13/04/2026 e anotei esses projeto parados lá
Retirei do gab. Do relator ANDRÉ CORREA, pois mudou a composição da Com.</t>
        </is>
      </c>
      <c r="S51" s="4" t="n"/>
      <c r="T51" s="4" t="n"/>
      <c r="U51" s="7" t="n"/>
      <c r="V51" s="3" t="inlineStr">
        <is>
          <t>http://alerjln1.alerj.rj.gov.br/scpro2327.nsf/18c1dd68f96be3e7832566ec0018d833/0f683e39c32f7b2003258988005cfbb1?OpenDocument</t>
        </is>
      </c>
      <c r="W51" s="3">
        <f>RIGHT(C51, 4)</f>
        <v/>
      </c>
      <c r="X51" s="3">
        <f>LEFT(C51, LEN(C51) - 5)</f>
        <v/>
      </c>
    </row>
    <row r="52" ht="60" customHeight="1" s="79">
      <c r="A52" s="2" t="inlineStr">
        <is>
          <t>Projeto Lei</t>
        </is>
      </c>
      <c r="B52" s="4">
        <f>RIGHT(C52,4)</f>
        <v/>
      </c>
      <c r="C52" s="73" t="inlineStr">
        <is>
          <t>5357/2022</t>
        </is>
      </c>
      <c r="D52" s="2" t="inlineStr">
        <is>
          <t>DISPÕE SOBRE A INSTITUIÇÃO DE CURSOS GRATUITOS DESTINADOS À MULHER GESTANTE, SOBRE CUIDADOS E ATENDIMENTOS EMERGENCIAIS A CRIANÇAS DE ZERO A SEIS ANOS E DÁ OUTRAS PROVIDÊNCIAS.</t>
        </is>
      </c>
      <c r="E52" s="2" t="inlineStr">
        <is>
          <t>MARTHA ROCHA</t>
        </is>
      </c>
      <c r="F52" s="18" t="inlineStr">
        <is>
          <t>ZEIDAN</t>
        </is>
      </c>
      <c r="G52" s="10" t="n"/>
      <c r="H52" s="37" t="n"/>
      <c r="I52" s="14" t="n"/>
      <c r="J52" s="4" t="n"/>
      <c r="K52" s="9" t="n">
        <v>46168</v>
      </c>
      <c r="L52" s="9" t="n"/>
      <c r="M52" s="4" t="n"/>
      <c r="N52" s="4" t="n"/>
      <c r="O52" s="4" t="n"/>
      <c r="P52" s="4" t="n"/>
      <c r="Q52" s="4" t="inlineStr">
        <is>
          <t>Sim</t>
        </is>
      </c>
      <c r="R52" s="13" t="n"/>
      <c r="S52" s="4" t="n"/>
      <c r="T52" s="4" t="n"/>
      <c r="U52" s="7" t="n"/>
      <c r="V52" s="3" t="inlineStr">
        <is>
          <t>http://alerjln1.alerj.rj.gov.br/scpro1923.nsf/18c1dd68f96be3e7832566ec0018d833/19801f35475f2ea9032587e30062f397?OpenDocument</t>
        </is>
      </c>
      <c r="W52" s="3">
        <f>RIGHT(C52, 4)</f>
        <v/>
      </c>
      <c r="X52" s="3">
        <f>LEFT(C52, LEN(C52) - 5)</f>
        <v/>
      </c>
    </row>
    <row r="53" ht="60" customHeight="1" s="79">
      <c r="A53" s="2" t="inlineStr">
        <is>
          <t>Projeto Lei</t>
        </is>
      </c>
      <c r="B53" s="4">
        <f>RIGHT(C53,4)</f>
        <v/>
      </c>
      <c r="C53" s="73" t="inlineStr">
        <is>
          <t>4454/2024</t>
        </is>
      </c>
      <c r="D53" s="2" t="inlineStr">
        <is>
          <t>ALTERA A LEI Nº 8304 DE 28 DE FEVEREIRO DE 2019, QUE DISPÕE SOBRE A CRIAÇÃO DE PROGRAMAS DE INCENTIVO À PRÁTICA DE ATIVIDADES FÍSICAS NO ÂMBITO DO  ESTADO DO RIO DE JANEIRO</t>
        </is>
      </c>
      <c r="E53" s="2" t="inlineStr">
        <is>
          <t>ÍNDIA ARMELAU</t>
        </is>
      </c>
      <c r="F53" s="18" t="inlineStr">
        <is>
          <t>BRUNO DAUAIRE</t>
        </is>
      </c>
      <c r="G53" s="10" t="n"/>
      <c r="H53" s="37" t="n"/>
      <c r="I53" s="14" t="n"/>
      <c r="J53" s="4" t="n"/>
      <c r="K53" s="9" t="n">
        <v>46168</v>
      </c>
      <c r="L53" s="9" t="n"/>
      <c r="M53" s="9" t="n"/>
      <c r="N53" s="9" t="n"/>
      <c r="O53" s="9" t="n"/>
      <c r="P53" s="9" t="n"/>
      <c r="Q53" s="4" t="inlineStr">
        <is>
          <t>Sim</t>
        </is>
      </c>
      <c r="R53" s="13" t="n"/>
      <c r="S53" s="4" t="n"/>
      <c r="T53" s="4" t="n"/>
      <c r="U53" s="7" t="n"/>
      <c r="V53" s="3" t="inlineStr">
        <is>
          <t>http://alerjln1.alerj.rj.gov.br/scpro2327.nsf/18c1dd68f96be3e7832566ec0018d833/8a088bc4e89c91ed03258be0007017a3?OpenDocument</t>
        </is>
      </c>
      <c r="W53" s="3">
        <f>RIGHT(C53, 4)</f>
        <v/>
      </c>
      <c r="X53" s="3">
        <f>LEFT(C53, LEN(C53) - 5)</f>
        <v/>
      </c>
    </row>
    <row r="54" ht="75" customHeight="1" s="79">
      <c r="A54" s="2" t="inlineStr">
        <is>
          <t>Projeto Lei</t>
        </is>
      </c>
      <c r="B54" s="4">
        <f>RIGHT(C54,4)</f>
        <v/>
      </c>
      <c r="C54" s="73" t="inlineStr">
        <is>
          <t>3798/2024</t>
        </is>
      </c>
      <c r="D54" s="2" t="inlineStr">
        <is>
          <t>RECONHECE A RELEVÂNCIA DO BEACH TENNIS COMO PRÁTICA ESPORTIVA E DE LAZER NO ESTADO DO RIO DE JANEIRO.</t>
        </is>
      </c>
      <c r="E54" s="2" t="inlineStr">
        <is>
          <t>RENAN JORDY</t>
        </is>
      </c>
      <c r="F54" s="18" t="inlineStr">
        <is>
          <t>ANDRÉ CORRÊA</t>
        </is>
      </c>
      <c r="G54" s="10" t="inlineStr">
        <is>
          <t>FAVORÁVEL COM AS EMENDAS DA COMISSÃO DE CONSTITUIÇÃO E JUSTIÇA</t>
        </is>
      </c>
      <c r="H54" s="37" t="inlineStr">
        <is>
          <t>11/02/2026</t>
        </is>
      </c>
      <c r="I54" s="14" t="inlineStr">
        <is>
          <t>8ªRE 
16/12/2025</t>
        </is>
      </c>
      <c r="J54" s="9" t="n"/>
      <c r="K54" s="9" t="n"/>
      <c r="L54" s="9" t="n">
        <v>45932</v>
      </c>
      <c r="M54" s="9" t="n"/>
      <c r="N54" s="9" t="n"/>
      <c r="O54" s="9" t="n"/>
      <c r="P54" s="9" t="n"/>
      <c r="Q54" s="4" t="inlineStr">
        <is>
          <t>No relator</t>
        </is>
      </c>
      <c r="R54" s="2" t="n"/>
      <c r="S54" s="4" t="n"/>
      <c r="T54" s="4" t="n"/>
      <c r="U54" s="7" t="n"/>
      <c r="V54" s="3" t="inlineStr">
        <is>
          <t>http://alerjln1.alerj.rj.gov.br/scpro2327.nsf/18c1dd68f96be3e7832566ec0018d833/4ee2d17ae802da5603258b3b0058f2e6?OpenDocument</t>
        </is>
      </c>
      <c r="W54" s="3">
        <f>RIGHT(C54, 4)</f>
        <v/>
      </c>
      <c r="X54" s="3">
        <f>LEFT(C54, LEN(C54) - 5)</f>
        <v/>
      </c>
    </row>
    <row r="55" ht="90" customHeight="1" s="79">
      <c r="A55" s="2" t="inlineStr">
        <is>
          <t>Projeto Lei</t>
        </is>
      </c>
      <c r="B55" s="4">
        <f>RIGHT(C55,4)</f>
        <v/>
      </c>
      <c r="C55" s="2" t="inlineStr">
        <is>
          <t>3725/2024</t>
        </is>
      </c>
      <c r="D55" s="2" t="inlineStr">
        <is>
          <t>DISPÕE SOBRE A OBRIGATORIEDADE DE APRESENTAÇÃO DE CERTIDÃO NEGATIVA DE ANTECEDENTES CRIMINAIS, PARA PROFISSIONAIS QUE ATUEM EM CENTROS DE ATENDIMENTO ESPECIALIZADO PARA PESSOAS COM DEFICIÊNCIA, NO ÂMBITO DO ESTADO DO RIO DE JANEIRO</t>
        </is>
      </c>
      <c r="E55" s="2" t="inlineStr">
        <is>
          <t>FRED PACHECO</t>
        </is>
      </c>
      <c r="F55" s="18" t="inlineStr">
        <is>
          <t>CARLOS MACEDO</t>
        </is>
      </c>
      <c r="G55" s="10" t="inlineStr">
        <is>
          <t>FAVORÁVEL</t>
        </is>
      </c>
      <c r="H55" s="37" t="inlineStr">
        <is>
          <t>22/09/2025</t>
        </is>
      </c>
      <c r="I55" s="14" t="inlineStr">
        <is>
          <t>6ªRE
02/09/2025</t>
        </is>
      </c>
      <c r="J55" s="9" t="n">
        <v>45902</v>
      </c>
      <c r="K55" s="4" t="n"/>
      <c r="L55" s="9" t="n">
        <v>45881</v>
      </c>
      <c r="M55" s="4" t="n"/>
      <c r="N55" s="4" t="n"/>
      <c r="O55" s="4" t="n"/>
      <c r="P55" s="4" t="n"/>
      <c r="Q55" s="4" t="inlineStr">
        <is>
          <t>Não</t>
        </is>
      </c>
      <c r="R55" s="13" t="n"/>
      <c r="S55" s="4" t="n"/>
      <c r="T55" s="4" t="n"/>
      <c r="U55" s="7" t="n"/>
      <c r="V55" s="3" t="inlineStr">
        <is>
          <t>&lt;a href='http://alerjln1.alerj.rj.gov.br/scpro2327.nsf/18c1dd68f96be3e7832566ec0018d833/271d7657169805d703258b390059eca1?OpenDocument'&gt; LINK&lt;/a&gt;</t>
        </is>
      </c>
      <c r="W55" s="3">
        <f>RIGHT(C55, 4)</f>
        <v/>
      </c>
      <c r="X55" s="3">
        <f>LEFT(C55, LEN(C55) - 5)</f>
        <v/>
      </c>
    </row>
    <row r="56" ht="75" customHeight="1" s="79">
      <c r="A56" s="2" t="inlineStr">
        <is>
          <t>Projeto Lei</t>
        </is>
      </c>
      <c r="B56" s="4">
        <f>RIGHT(C56,4)</f>
        <v/>
      </c>
      <c r="C56" s="2" t="inlineStr">
        <is>
          <t>398/2023</t>
        </is>
      </c>
      <c r="D56" s="2" t="inlineStr">
        <is>
          <t>DETERMINA QUE SEJA DISPONIBILIZADO EM SITES E APLICATIVOS DE ÓRGÃOS PÚBLICOS UM ÍCONE DESTINADO A REALIZAÇÃO DE DENÚNCIAS RELACIONADAS AOS CRIMES COMETIDOS CONTRA MULHERES</t>
        </is>
      </c>
      <c r="E56" s="2" t="inlineStr">
        <is>
          <t>RENATO MACHADO</t>
        </is>
      </c>
      <c r="F56" s="18" t="inlineStr">
        <is>
          <t>CARLOS MACEDO</t>
        </is>
      </c>
      <c r="G56" s="10" t="n"/>
      <c r="H56" s="37" t="n"/>
      <c r="I56" s="14" t="n"/>
      <c r="J56" s="4" t="n"/>
      <c r="K56" s="4" t="n"/>
      <c r="L56" s="9" t="n"/>
      <c r="M56" s="4" t="n"/>
      <c r="N56" s="4" t="n"/>
      <c r="O56" s="4" t="n"/>
      <c r="P56" s="4" t="n"/>
      <c r="Q56" s="4" t="inlineStr">
        <is>
          <t>Sim</t>
        </is>
      </c>
      <c r="R56" s="13" t="n"/>
      <c r="S56" s="4" t="n"/>
      <c r="T56" s="4" t="n"/>
      <c r="U56" s="7" t="n"/>
      <c r="V56" s="3" t="n"/>
      <c r="W56" s="3">
        <f>RIGHT(C56, 4)</f>
        <v/>
      </c>
      <c r="X56" s="3">
        <f>LEFT(C56, LEN(C56) - 5)</f>
        <v/>
      </c>
    </row>
    <row r="57" ht="45" customHeight="1" s="79">
      <c r="A57" s="2" t="inlineStr">
        <is>
          <t>Projeto Lei</t>
        </is>
      </c>
      <c r="B57" s="4">
        <f>RIGHT(C57,4)</f>
        <v/>
      </c>
      <c r="C57" s="2" t="inlineStr">
        <is>
          <t>5095/2021</t>
        </is>
      </c>
      <c r="D57" s="2" t="inlineStr">
        <is>
          <t>DISPÕE SOBRE O DEPÓSITO EM DINHEIRO DE FIANÇA ATRAVÉS DE PIX NAS DELEGACIAS DE POLÍCIA DO ESTADO DO RIO DE JANEIRO</t>
        </is>
      </c>
      <c r="E57" s="2" t="inlineStr">
        <is>
          <t>DELEGADO CARLOS AUGUSTO</t>
        </is>
      </c>
      <c r="F57" s="18" t="inlineStr">
        <is>
          <t>CARLOS MACEDO</t>
        </is>
      </c>
      <c r="G57" s="10" t="n"/>
      <c r="H57" s="37" t="n"/>
      <c r="I57" s="14" t="n"/>
      <c r="J57" s="4" t="n"/>
      <c r="K57" s="4" t="n"/>
      <c r="L57" s="9" t="n"/>
      <c r="M57" s="4" t="n"/>
      <c r="N57" s="4" t="n"/>
      <c r="O57" s="4" t="n"/>
      <c r="P57" s="4" t="n"/>
      <c r="Q57" s="4" t="inlineStr">
        <is>
          <t>Sim</t>
        </is>
      </c>
      <c r="R57" s="13" t="n"/>
      <c r="S57" s="4" t="n"/>
      <c r="T57" s="4" t="n"/>
      <c r="U57" s="7" t="n"/>
      <c r="V57" s="3" t="n"/>
      <c r="W57" s="3">
        <f>RIGHT(C57, 4)</f>
        <v/>
      </c>
      <c r="X57" s="3">
        <f>LEFT(C57, LEN(C57) - 5)</f>
        <v/>
      </c>
    </row>
    <row r="58" ht="75" customHeight="1" s="79">
      <c r="A58" s="2" t="inlineStr">
        <is>
          <t>Projeto Lei</t>
        </is>
      </c>
      <c r="B58" s="4">
        <f>RIGHT(C58,4)</f>
        <v/>
      </c>
      <c r="C58" s="2" t="inlineStr">
        <is>
          <t>3958/2021</t>
        </is>
      </c>
      <c r="D58" s="2" t="inlineStr">
        <is>
          <t>INSTITUI O PROGRAMA DE USO DE VEÍCULOS AÉREOS NÃO TRIPULADOS POR ÓRGÃOS DE SEGURANÇA PÚBLICA, NO ÂMBITO DO ESTADO DO RIO DE JANEIRO</t>
        </is>
      </c>
      <c r="E58" s="2" t="inlineStr">
        <is>
          <t>DANNIEL LIBRELON</t>
        </is>
      </c>
      <c r="F58" s="18" t="inlineStr">
        <is>
          <t>CARLOS MACEDO</t>
        </is>
      </c>
      <c r="G58" s="10" t="inlineStr">
        <is>
          <t>FAVORÁVEL COM AS EMENDAS DA COMISSÃO DE CONSTITUIÇÃO E JUSTIÇA</t>
        </is>
      </c>
      <c r="H58" s="37" t="inlineStr">
        <is>
          <t>22/09/2025</t>
        </is>
      </c>
      <c r="I58" s="14" t="inlineStr">
        <is>
          <t>6ªRE
02/09/2025</t>
        </is>
      </c>
      <c r="J58" s="9" t="n">
        <v>45902</v>
      </c>
      <c r="K58" s="4" t="n"/>
      <c r="L58" s="9" t="n">
        <v>45881</v>
      </c>
      <c r="M58" s="4" t="n"/>
      <c r="N58" s="4" t="n"/>
      <c r="O58" s="4" t="n"/>
      <c r="P58" s="4" t="n"/>
      <c r="Q58" s="4" t="inlineStr">
        <is>
          <t>Não</t>
        </is>
      </c>
      <c r="R58" s="13" t="n"/>
      <c r="S58" s="4" t="n"/>
      <c r="T58" s="4" t="n"/>
      <c r="U58" s="7" t="n"/>
      <c r="V58" s="3" t="inlineStr">
        <is>
          <t>&lt;a href='http://alerjln1.alerj.rj.gov.br/scpro1923.nsf/18c1dd68f96be3e7832566ec0018d833/339f9893f51f66b8032586ae006f1701?OpenDocument'&gt; LINK&lt;/a&gt;</t>
        </is>
      </c>
      <c r="W58" s="3">
        <f>RIGHT(C58, 4)</f>
        <v/>
      </c>
      <c r="X58" s="3">
        <f>LEFT(C58, LEN(C58) - 5)</f>
        <v/>
      </c>
    </row>
    <row r="59">
      <c r="A59" s="2" t="inlineStr">
        <is>
          <t>Projeto Lei</t>
        </is>
      </c>
      <c r="B59" s="4">
        <f>RIGHT(C59,4)</f>
        <v/>
      </c>
      <c r="C59" s="34" t="inlineStr">
        <is>
          <t>1295/2021</t>
        </is>
      </c>
      <c r="D59" s="2" t="n"/>
      <c r="E59" s="2" t="inlineStr">
        <is>
          <t>MÁRCIO CANELLA</t>
        </is>
      </c>
      <c r="F59" s="18" t="inlineStr">
        <is>
          <t>CARLOS MACEDO</t>
        </is>
      </c>
      <c r="G59" s="10" t="n"/>
      <c r="H59" s="37" t="n"/>
      <c r="I59" s="14" t="n"/>
      <c r="J59" s="4" t="n"/>
      <c r="K59" s="4" t="n"/>
      <c r="L59" s="9" t="n"/>
      <c r="M59" s="4" t="n"/>
      <c r="N59" s="4" t="n"/>
      <c r="O59" s="4" t="n"/>
      <c r="P59" s="4" t="n"/>
      <c r="Q59" s="4" t="inlineStr">
        <is>
          <t>Sim</t>
        </is>
      </c>
      <c r="R59" s="45" t="inlineStr">
        <is>
          <t>Número anotado errado</t>
        </is>
      </c>
      <c r="S59" s="4" t="n"/>
      <c r="T59" s="4" t="n"/>
      <c r="U59" s="7" t="n"/>
      <c r="V59" s="3" t="n"/>
      <c r="W59" s="3">
        <f>RIGHT(C59, 4)</f>
        <v/>
      </c>
      <c r="X59" s="3">
        <f>LEFT(C59, LEN(C59) - 5)</f>
        <v/>
      </c>
    </row>
    <row r="60" ht="45" customHeight="1" s="79">
      <c r="A60" s="2" t="inlineStr">
        <is>
          <t>Projeto Lei</t>
        </is>
      </c>
      <c r="B60" s="4">
        <f>RIGHT(C60,4)</f>
        <v/>
      </c>
      <c r="C60" s="73" t="inlineStr">
        <is>
          <t>EP 2856/2020</t>
        </is>
      </c>
      <c r="D60" s="2" t="inlineStr">
        <is>
          <t>AUTORIZA O PODER EXECUTIVO A CRIAR A ESCOLA DE MÚSICA POPULAR CARIOCA NO ESTADO DO RIO DE JANEIRO, E DÁ OUTRAS PROVIDÊNCIAS.</t>
        </is>
      </c>
      <c r="E60" s="2" t="inlineStr">
        <is>
          <t>RODRIGO AMORIM</t>
        </is>
      </c>
      <c r="F60" s="18" t="inlineStr">
        <is>
          <t>CARLOS MACEDO</t>
        </is>
      </c>
      <c r="G60" s="10" t="inlineStr">
        <is>
          <t>FAVORÁVEL AS EMENDA Nº 01, 02, 03, 04, 05 e 06</t>
        </is>
      </c>
      <c r="H60" s="37" t="inlineStr">
        <is>
          <t>23/09/2025</t>
        </is>
      </c>
      <c r="I60" s="14" t="inlineStr">
        <is>
          <t>6ªRE
02/09/2025</t>
        </is>
      </c>
      <c r="J60" s="9" t="n">
        <v>45902</v>
      </c>
      <c r="K60" s="4" t="n"/>
      <c r="L60" s="9" t="n">
        <v>45881</v>
      </c>
      <c r="M60" s="4" t="n"/>
      <c r="N60" s="4" t="n"/>
      <c r="O60" s="4" t="n"/>
      <c r="P60" s="4" t="n"/>
      <c r="Q60" s="4" t="inlineStr">
        <is>
          <t>Não</t>
        </is>
      </c>
      <c r="R60" s="45" t="inlineStr">
        <is>
          <t>falta lançar a distribuição</t>
        </is>
      </c>
      <c r="S60" s="4" t="n"/>
      <c r="T60" s="4" t="n"/>
      <c r="U60" s="7" t="n"/>
      <c r="V60" s="3" t="inlineStr">
        <is>
          <t>&lt;a href='http://alerjln1.alerj.rj.gov.br/scpro1923.nsf/18c1dd68f96be3e7832566ec0018d833/77054c787a198c8f0325859f00641838?OpenDocument'&gt; LINK&lt;/a&gt;</t>
        </is>
      </c>
      <c r="W60" s="3">
        <f>RIGHT(C60, 4)</f>
        <v/>
      </c>
      <c r="X60" s="3">
        <f>LEFT(C60, LEN(C60) - 5)</f>
        <v/>
      </c>
    </row>
    <row r="61" ht="105" customHeight="1" s="79">
      <c r="A61" s="2" t="inlineStr">
        <is>
          <t>Projeto Lei Compl.</t>
        </is>
      </c>
      <c r="B61" s="4">
        <f>RIGHT(C61,4)</f>
        <v/>
      </c>
      <c r="C61" s="73" t="inlineStr">
        <is>
          <t>12/2023</t>
        </is>
      </c>
      <c r="D61" s="2" t="inlineStr">
        <is>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is>
      </c>
      <c r="E61" s="2" t="inlineStr">
        <is>
          <t>VINÍCIUS COZZOLINO</t>
        </is>
      </c>
      <c r="F61" s="18" t="inlineStr">
        <is>
          <t>LUIZ PAULO</t>
        </is>
      </c>
      <c r="G61" s="10" t="inlineStr">
        <is>
          <t>FAVORÁVEL COM EMENDAS</t>
        </is>
      </c>
      <c r="H61" s="37" t="inlineStr">
        <is>
          <t>23/12/2025</t>
        </is>
      </c>
      <c r="I61" s="14" t="inlineStr">
        <is>
          <t>8ªRE 
16/12/2025</t>
        </is>
      </c>
      <c r="J61" s="9" t="n">
        <v>45912</v>
      </c>
      <c r="K61" s="4" t="n"/>
      <c r="L61" s="9" t="n">
        <v>45882</v>
      </c>
      <c r="M61" s="4" t="n"/>
      <c r="N61" s="18" t="inlineStr">
        <is>
          <t>CÉLIA JORDÃO</t>
        </is>
      </c>
      <c r="O61" s="10" t="n"/>
      <c r="P61" s="9" t="n">
        <v>45953</v>
      </c>
      <c r="Q61" s="12" t="inlineStr">
        <is>
          <t>Sim</t>
        </is>
      </c>
      <c r="R61" s="13" t="inlineStr">
        <is>
          <t>VISTA DE CÉLIA JORDÃO EM 02-SET</t>
        </is>
      </c>
      <c r="S61" s="4" t="n"/>
      <c r="T61" s="4" t="n"/>
      <c r="U61" s="7" t="n"/>
      <c r="V61" s="3" t="inlineStr">
        <is>
          <t>http://alerjln1.alerj.rj.gov.br/scpro2327.nsf/34c4e2da9b17c0d3832566ec0018d830/c85b72a893a2a4af03258a37004d17b9?OpenDocument</t>
        </is>
      </c>
      <c r="W61" s="3">
        <f>RIGHT(C61, 4)</f>
        <v/>
      </c>
      <c r="X61" s="3">
        <f>LEFT(C61, LEN(C61) - 5)</f>
        <v/>
      </c>
    </row>
    <row r="62" ht="75" customHeight="1" s="79">
      <c r="A62" s="2" t="inlineStr">
        <is>
          <t>Projeto Lei</t>
        </is>
      </c>
      <c r="B62" s="4">
        <f>RIGHT(C62,4)</f>
        <v/>
      </c>
      <c r="C62" s="2" t="inlineStr">
        <is>
          <t>2622/2023</t>
        </is>
      </c>
      <c r="D62" s="2" t="inlineStr">
        <is>
          <t>ALTERA A LEI Nº 8.561, DE 10 DE OUTUBRO DE 2019, QUE INSTITUI O PROGRAMA ESTADUAL DE APRENDIZAGEM NO ÂMBITO DO ESTADO DO RIO DE JANEIRO, PARA INCLUIR A PRIORIDADE DE VAGAS PARA JOVENS TUTELADOS</t>
        </is>
      </c>
      <c r="E62" s="2" t="inlineStr">
        <is>
          <t>VINÍCIUS COZZOLINO</t>
        </is>
      </c>
      <c r="F62" s="18" t="inlineStr">
        <is>
          <t>CARLOS MACEDO</t>
        </is>
      </c>
      <c r="G62" s="10" t="inlineStr">
        <is>
          <t>FAVORÁVEL</t>
        </is>
      </c>
      <c r="H62" s="37" t="inlineStr">
        <is>
          <t>22/09/2025</t>
        </is>
      </c>
      <c r="I62" s="14" t="inlineStr">
        <is>
          <t>6ªRE
02/09/2025</t>
        </is>
      </c>
      <c r="J62" s="9" t="n">
        <v>45902</v>
      </c>
      <c r="K62" s="4" t="n"/>
      <c r="L62" s="9" t="n">
        <v>45881</v>
      </c>
      <c r="M62" s="4" t="n"/>
      <c r="N62" s="18" t="n"/>
      <c r="O62" s="10" t="n"/>
      <c r="P62" s="4" t="n"/>
      <c r="Q62" s="4" t="inlineStr">
        <is>
          <t>Não</t>
        </is>
      </c>
      <c r="R62" s="13" t="n"/>
      <c r="S62" s="4" t="n"/>
      <c r="T62" s="4" t="n"/>
      <c r="U62" s="7" t="n"/>
      <c r="V62" s="3" t="inlineStr">
        <is>
          <t>&lt;a href='http://alerjln1.alerj.rj.gov.br/scpro2327.nsf/18c1dd68f96be3e7832566ec0018d833/cc983135fbabd78303258a62005d53be?OpenDocument'&gt; LINK&lt;/a&gt;</t>
        </is>
      </c>
      <c r="W62" s="3">
        <f>RIGHT(C62, 4)</f>
        <v/>
      </c>
      <c r="X62" s="3">
        <f>LEFT(C62, LEN(C62) - 5)</f>
        <v/>
      </c>
    </row>
    <row r="63" ht="30" customHeight="1" s="79">
      <c r="A63" s="2" t="inlineStr">
        <is>
          <t>Projeto Lei</t>
        </is>
      </c>
      <c r="B63" s="4">
        <f>RIGHT(C63,4)</f>
        <v/>
      </c>
      <c r="C63" s="2" t="inlineStr">
        <is>
          <t>21/2020</t>
        </is>
      </c>
      <c r="D63" s="2" t="inlineStr">
        <is>
          <t>ALTERA A LEI COMPLEMENTAR 184, DE 27 DE DEZEMBRO DE 2018, E DÁOUTRAS PROVIDÊNCIAS</t>
        </is>
      </c>
      <c r="E63" s="2" t="inlineStr">
        <is>
          <t>ZEIDAN, ANDRÉ</t>
        </is>
      </c>
      <c r="F63" s="18" t="inlineStr">
        <is>
          <t>CARLOS MACEDO</t>
        </is>
      </c>
      <c r="G63" s="10" t="n"/>
      <c r="H63" s="37" t="n"/>
      <c r="I63" s="14" t="n"/>
      <c r="J63" s="4" t="n"/>
      <c r="K63" s="4" t="n"/>
      <c r="L63" s="9" t="n"/>
      <c r="M63" s="4" t="n"/>
      <c r="N63" s="18" t="n"/>
      <c r="O63" s="10" t="n"/>
      <c r="P63" s="4" t="n"/>
      <c r="Q63" s="4" t="inlineStr">
        <is>
          <t>Sim</t>
        </is>
      </c>
      <c r="R63" s="45" t="inlineStr">
        <is>
          <t>Número anotado errado</t>
        </is>
      </c>
      <c r="S63" s="4" t="n"/>
      <c r="T63" s="4" t="n"/>
      <c r="U63" s="7" t="n"/>
      <c r="V63" s="3" t="n"/>
      <c r="W63" s="3">
        <f>RIGHT(C63, 4)</f>
        <v/>
      </c>
      <c r="X63" s="3">
        <f>LEFT(C63, LEN(C63) - 5)</f>
        <v/>
      </c>
    </row>
    <row r="64" ht="90" customHeight="1" s="79">
      <c r="A64" s="2" t="inlineStr">
        <is>
          <t>Projeto Lei</t>
        </is>
      </c>
      <c r="B64" s="4">
        <f>RIGHT(C64,4)</f>
        <v/>
      </c>
      <c r="C64" s="2" t="inlineStr">
        <is>
          <t>1021/2023</t>
        </is>
      </c>
      <c r="D64" s="2" t="inlineStr">
        <is>
          <t>ALTERA A LEI Nº 8.951 DE 29 DE JULHO DE 2020, PARA ESTABELECER AS AÇÕES DE SOLIDARIEDADE COMO SERVIÇOS ESSENCIAIS SEMPRE QUE FOR DECRETADO ESTADO DE EMERGÊNCIA OU DE CALAMIDADE QUE RESTRINJA A LIVRE CIRCULAÇÃO DE PESSOAS NO ESTADO DO RIO DE JANEIRO</t>
        </is>
      </c>
      <c r="E64" s="2" t="inlineStr">
        <is>
          <t>MÁRCIO CANELLA</t>
        </is>
      </c>
      <c r="F64" s="18" t="inlineStr">
        <is>
          <t>CARLOS MACEDO</t>
        </is>
      </c>
      <c r="G64" s="10" t="n"/>
      <c r="H64" s="37" t="n"/>
      <c r="I64" s="14" t="n"/>
      <c r="J64" s="4" t="n"/>
      <c r="K64" s="4" t="n"/>
      <c r="L64" s="9" t="n"/>
      <c r="M64" s="4" t="n"/>
      <c r="N64" s="18" t="n"/>
      <c r="O64" s="10" t="n"/>
      <c r="P64" s="4" t="n"/>
      <c r="Q64" s="4" t="inlineStr">
        <is>
          <t>Sim</t>
        </is>
      </c>
      <c r="R64" s="13" t="n"/>
      <c r="S64" s="4" t="n"/>
      <c r="T64" s="4" t="n"/>
      <c r="U64" s="7" t="n"/>
      <c r="V64" s="3" t="n"/>
      <c r="W64" s="3">
        <f>RIGHT(C64, 4)</f>
        <v/>
      </c>
      <c r="X64" s="3">
        <f>LEFT(C64, LEN(C64) - 5)</f>
        <v/>
      </c>
    </row>
    <row r="65" ht="75" customHeight="1" s="79">
      <c r="A65" s="2" t="inlineStr">
        <is>
          <t>Projeto Lei</t>
        </is>
      </c>
      <c r="B65" s="4">
        <f>RIGHT(C65,4)</f>
        <v/>
      </c>
      <c r="C65" s="2" t="inlineStr">
        <is>
          <t>1644/2023</t>
        </is>
      </c>
      <c r="D65" s="2" t="inlineStr">
        <is>
          <t>DISPÕE SOBRE A APLICAÇÃO DAS MULTAS AMBIENTAIS EM PROL DOS MUNICÍPIOS IMPACTADOS POR DANOS AMBIENTAIS, ALTERA A LEI  ESTADUAL Nº 3467, DE 14 DE SETEMBRO DE 2000,  E DÁ OUTRAS PROVIDÊNCIAS</t>
        </is>
      </c>
      <c r="E65" s="2" t="inlineStr">
        <is>
          <t>JARI OLIVEIRA</t>
        </is>
      </c>
      <c r="F65" s="18" t="inlineStr">
        <is>
          <t>RENATO MIRANDA</t>
        </is>
      </c>
      <c r="G65" s="10" t="n"/>
      <c r="H65" s="37" t="n"/>
      <c r="I65" s="14" t="n"/>
      <c r="J65" s="4" t="n"/>
      <c r="K65" s="9" t="n"/>
      <c r="L65" s="9" t="n"/>
      <c r="M65" s="9" t="n"/>
      <c r="N65" s="18" t="n"/>
      <c r="O65" s="10" t="n"/>
      <c r="P65" s="9" t="n"/>
      <c r="Q65" s="4" t="inlineStr">
        <is>
          <t>Sim</t>
        </is>
      </c>
      <c r="R65" s="13" t="n"/>
      <c r="S65" s="4" t="n"/>
      <c r="T65" s="4" t="n"/>
      <c r="U65" s="7" t="n"/>
      <c r="V65" s="3" t="n"/>
      <c r="W65" s="3">
        <f>RIGHT(C65, 4)</f>
        <v/>
      </c>
      <c r="X65" s="3">
        <f>LEFT(C65, LEN(C65) - 5)</f>
        <v/>
      </c>
    </row>
    <row r="66">
      <c r="A66" s="2" t="inlineStr">
        <is>
          <t>Projeto Lei</t>
        </is>
      </c>
      <c r="B66" s="4">
        <f>RIGHT(C66,4)</f>
        <v/>
      </c>
      <c r="C66" s="2" t="inlineStr">
        <is>
          <t>1894/2000</t>
        </is>
      </c>
      <c r="D66" s="2" t="n"/>
      <c r="E66" s="2" t="inlineStr">
        <is>
          <t>WALDECK CARNEIRO</t>
        </is>
      </c>
      <c r="F66" s="18" t="inlineStr">
        <is>
          <t>ANDRÉ CORRÊA</t>
        </is>
      </c>
      <c r="G66" s="10" t="n"/>
      <c r="H66" s="37" t="n"/>
      <c r="I66" s="14" t="n"/>
      <c r="J66" s="9" t="n">
        <v>45820</v>
      </c>
      <c r="K66" s="9" t="n">
        <v>45820</v>
      </c>
      <c r="L66" s="9" t="n"/>
      <c r="M66" s="9" t="n"/>
      <c r="N66" s="18" t="n"/>
      <c r="O66" s="10" t="n"/>
      <c r="P66" s="9" t="n"/>
      <c r="Q66" s="4" t="inlineStr">
        <is>
          <t>Sim</t>
        </is>
      </c>
      <c r="R66" s="34" t="inlineStr">
        <is>
          <t>Número anotado errado</t>
        </is>
      </c>
      <c r="S66" s="4" t="n"/>
      <c r="T66" s="4" t="n"/>
      <c r="U66" s="7" t="n"/>
      <c r="V66" s="3" t="n"/>
      <c r="W66" s="3">
        <f>RIGHT(C66, 4)</f>
        <v/>
      </c>
      <c r="X66" s="3">
        <f>LEFT(C66, LEN(C66) - 5)</f>
        <v/>
      </c>
    </row>
    <row r="67" ht="75" customHeight="1" s="79">
      <c r="A67" s="2" t="inlineStr">
        <is>
          <t>Projeto Lei</t>
        </is>
      </c>
      <c r="B67" s="4">
        <f>RIGHT(C67,4)</f>
        <v/>
      </c>
      <c r="C67" s="2" t="inlineStr">
        <is>
          <t>2058/2023</t>
        </is>
      </c>
      <c r="D67" s="2" t="inlineStr">
        <is>
          <t>ALTERA A LEI Nº 6.787/2014, QUE DISPÕE SOBRE AS CONDIÇÕES SANITÁRIAS PARA OS BANHEIROS PÚBLICOS INSTALADOS NO ÂMBITO DO ESTADO DO RIO DE JANEIRO.</t>
        </is>
      </c>
      <c r="E67" s="2" t="inlineStr">
        <is>
          <t>RENATO MACHADO</t>
        </is>
      </c>
      <c r="F67" s="18" t="inlineStr">
        <is>
          <t>ALEXANDRE KNOPLOCH</t>
        </is>
      </c>
      <c r="G67" s="10" t="n"/>
      <c r="H67" s="37" t="n"/>
      <c r="I67" s="14" t="n"/>
      <c r="J67" s="4" t="n"/>
      <c r="K67" s="9" t="n">
        <v>45820</v>
      </c>
      <c r="L67" s="9" t="n">
        <v>46167</v>
      </c>
      <c r="M67" s="4" t="n"/>
      <c r="N67" s="18" t="n"/>
      <c r="O67" s="10" t="n"/>
      <c r="P67" s="4" t="n"/>
      <c r="Q67" s="4" t="inlineStr">
        <is>
          <t>Sim</t>
        </is>
      </c>
      <c r="R67" s="13" t="inlineStr">
        <is>
          <t>Fui ao gabinete em 13/04/2026 e anotei esses projeto parados lá
Retirei do gab. Do relator ANDRÉ CORREA, pois mudou a composição da Com.</t>
        </is>
      </c>
      <c r="S67" s="4" t="n"/>
      <c r="T67" s="4" t="n"/>
      <c r="U67" s="7" t="n"/>
      <c r="V67" s="3" t="n"/>
      <c r="W67" s="3">
        <f>RIGHT(C67, 4)</f>
        <v/>
      </c>
      <c r="X67" s="3">
        <f>LEFT(C67, LEN(C67) - 5)</f>
        <v/>
      </c>
    </row>
    <row r="68" ht="75" customHeight="1" s="79">
      <c r="A68" s="2" t="inlineStr">
        <is>
          <t>Projeto Lei</t>
        </is>
      </c>
      <c r="B68" s="4">
        <f>RIGHT(C68,4)</f>
        <v/>
      </c>
      <c r="C68" s="2" t="inlineStr">
        <is>
          <t>6432/2022</t>
        </is>
      </c>
      <c r="D68" s="2" t="inlineStr">
        <is>
          <t>DISPÕE SOBRE O FORNECIMENTO DE LEITE EM PÓ PARA CRIANÇAS NASCIDAS DE MÃES PORTADORAS DE VÍRUS HTLV.</t>
        </is>
      </c>
      <c r="E68" s="2" t="inlineStr">
        <is>
          <t>FRANCIANE MOTTA</t>
        </is>
      </c>
      <c r="F68" s="18" t="inlineStr">
        <is>
          <t>ZEIDAN</t>
        </is>
      </c>
      <c r="G68" s="10" t="n"/>
      <c r="H68" s="37" t="n"/>
      <c r="I68" s="14" t="n"/>
      <c r="J68" s="4" t="n"/>
      <c r="K68" s="9" t="n">
        <v>45820</v>
      </c>
      <c r="L68" s="9" t="n">
        <v>46167</v>
      </c>
      <c r="M68" s="4" t="n"/>
      <c r="N68" s="18" t="n"/>
      <c r="O68" s="10" t="n"/>
      <c r="P68" s="4" t="n"/>
      <c r="Q68" s="4" t="inlineStr">
        <is>
          <t>Sim</t>
        </is>
      </c>
      <c r="R68" s="13" t="inlineStr">
        <is>
          <t>Fui ao gabinete em 13/04/2026 e anotei esses projeto parados lá
Retirei do gab. Do relator ANDRÉ CORREA, pois mudou a composição da Com.</t>
        </is>
      </c>
      <c r="S68" s="4" t="n"/>
      <c r="T68" s="4" t="n"/>
      <c r="U68" s="7" t="n"/>
      <c r="V68" s="3" t="n"/>
      <c r="W68" s="3">
        <f>RIGHT(C68, 4)</f>
        <v/>
      </c>
      <c r="X68" s="3">
        <f>LEFT(C68, LEN(C68) - 5)</f>
        <v/>
      </c>
    </row>
    <row r="69" ht="60" customHeight="1" s="79">
      <c r="A69" s="2" t="inlineStr">
        <is>
          <t>Projeto Lei</t>
        </is>
      </c>
      <c r="B69" s="4">
        <f>RIGHT(C69,4)</f>
        <v/>
      </c>
      <c r="C69" s="2" t="inlineStr">
        <is>
          <t>2470/2020</t>
        </is>
      </c>
      <c r="D69" s="2" t="inlineStr">
        <is>
          <t>DISPÕE SOBRE A OBRIGATORIEDADE DE LIMITAR O TEMPO DE ESPERA DE ATENDIMENTO NAS UNIDADES DE SAÚDE DA REDE PÚBLICA DO ESTADO DO RIO DE JANEIRO E DÁ OUTRAS PROVIDÊNCIAS</t>
        </is>
      </c>
      <c r="E69" s="2" t="inlineStr">
        <is>
          <t>DANNIEL LIBRELON</t>
        </is>
      </c>
      <c r="F69" s="18" t="inlineStr">
        <is>
          <t>ALEXANDRE KNOPLOCH</t>
        </is>
      </c>
      <c r="G69" s="10" t="n"/>
      <c r="H69" s="37" t="n"/>
      <c r="I69" s="14" t="n"/>
      <c r="J69" s="4" t="n"/>
      <c r="K69" s="9" t="n">
        <v>45820</v>
      </c>
      <c r="L69" s="9" t="n">
        <v>46167</v>
      </c>
      <c r="M69" s="4" t="n"/>
      <c r="N69" s="18" t="n"/>
      <c r="O69" s="10" t="n"/>
      <c r="P69" s="4" t="n"/>
      <c r="Q69" s="4" t="inlineStr">
        <is>
          <t>Sim</t>
        </is>
      </c>
      <c r="R69" s="13" t="n"/>
      <c r="S69" s="4" t="n"/>
      <c r="T69" s="4" t="n"/>
      <c r="U69" s="7" t="n"/>
      <c r="V69" s="3" t="n"/>
      <c r="W69" s="3">
        <f>RIGHT(C69, 4)</f>
        <v/>
      </c>
      <c r="X69" s="3">
        <f>LEFT(C69, LEN(C69) - 5)</f>
        <v/>
      </c>
    </row>
    <row r="70" ht="75" customHeight="1" s="79">
      <c r="A70" s="2" t="inlineStr">
        <is>
          <t>Projeto Lei</t>
        </is>
      </c>
      <c r="B70" s="4">
        <f>RIGHT(C70,4)</f>
        <v/>
      </c>
      <c r="C70" s="2" t="inlineStr">
        <is>
          <t>2888/2024</t>
        </is>
      </c>
      <c r="D70" s="2" t="inlineStr">
        <is>
          <t>INSTITUI, NO ÂMBITO DO ESTADO DO RIO DE JANEIRO, A CAMPANHA ESTADUAL DE SAÚDE BUCAL DA PESSOA IDOSA</t>
        </is>
      </c>
      <c r="E70" s="2" t="inlineStr">
        <is>
          <t>MARTHA ROCHA</t>
        </is>
      </c>
      <c r="F70" s="18" t="inlineStr">
        <is>
          <t>BRUNO DAUAIRE</t>
        </is>
      </c>
      <c r="G70" s="10" t="n"/>
      <c r="H70" s="37" t="n"/>
      <c r="I70" s="14" t="n"/>
      <c r="J70" s="4" t="n"/>
      <c r="K70" s="9" t="n">
        <v>45820</v>
      </c>
      <c r="L70" s="9" t="n">
        <v>46167</v>
      </c>
      <c r="M70" s="4" t="n"/>
      <c r="N70" s="18" t="n"/>
      <c r="O70" s="10" t="n"/>
      <c r="P70" s="4" t="n"/>
      <c r="Q70" s="4" t="inlineStr">
        <is>
          <t>Sim</t>
        </is>
      </c>
      <c r="R70" s="13" t="inlineStr">
        <is>
          <t>Fui ao gabinete em 13/04/2026 e anotei esses projeto parados lá
Retirei do gab. Do relator ANDRÉ CORREA, pois mudou a composição da Com.</t>
        </is>
      </c>
      <c r="S70" s="4" t="n"/>
      <c r="T70" s="4" t="n"/>
      <c r="U70" s="7" t="n"/>
      <c r="V70" s="3" t="n"/>
      <c r="W70" s="3">
        <f>RIGHT(C70, 4)</f>
        <v/>
      </c>
      <c r="X70" s="3">
        <f>LEFT(C70, LEN(C70) - 5)</f>
        <v/>
      </c>
    </row>
    <row r="71" ht="90" customHeight="1" s="79">
      <c r="A71" s="2" t="inlineStr">
        <is>
          <t>Projeto Lei</t>
        </is>
      </c>
      <c r="B71" s="4">
        <f>RIGHT(C71,4)</f>
        <v/>
      </c>
      <c r="C71" s="73" t="inlineStr">
        <is>
          <t>3226/2024</t>
        </is>
      </c>
      <c r="D71" s="2" t="inlineStr">
        <is>
          <t>ALTERA A LEI Nº 3.499, DE 08 DE DEZEMBRO DE 2000, QUE CRIA O PROGRAMA “UM LAR PARA MIM”, INSTITUI O AUXÍLIO-ADOÇÃO PARA O SERVIDOR PÚBLICO ESTADUAL QUE ACOLHER CRIANÇA OU ADOLESCENTE ÓRFÃO OU ABANDONADO, E DÁ OUTRAS PROVIDÊNCIAS</t>
        </is>
      </c>
      <c r="E71" s="2" t="inlineStr">
        <is>
          <t>ÍNDIA ARMELAU</t>
        </is>
      </c>
      <c r="F71" s="18" t="inlineStr">
        <is>
          <t>ZEIDAN</t>
        </is>
      </c>
      <c r="G71" s="10" t="inlineStr">
        <is>
          <t>FAVORÁVEL</t>
        </is>
      </c>
      <c r="H71" s="37" t="inlineStr">
        <is>
          <t>11/02/2026</t>
        </is>
      </c>
      <c r="I71" s="14" t="inlineStr">
        <is>
          <t>8ªRE 
16/12/2025</t>
        </is>
      </c>
      <c r="J71" s="4" t="n"/>
      <c r="K71" s="9" t="n">
        <v>45820</v>
      </c>
      <c r="L71" s="9" t="n">
        <v>45938</v>
      </c>
      <c r="M71" s="9" t="n">
        <v>46065</v>
      </c>
      <c r="N71" s="18" t="n"/>
      <c r="O71" s="10" t="n"/>
      <c r="P71" s="4" t="n"/>
      <c r="Q71" s="4" t="inlineStr">
        <is>
          <t>Não</t>
        </is>
      </c>
      <c r="R71" s="13" t="n"/>
      <c r="S71" s="4" t="n"/>
      <c r="T71" s="4" t="n"/>
      <c r="U71" s="7" t="n"/>
      <c r="V71" s="3" t="inlineStr">
        <is>
          <t>http://alerjln1.alerj.rj.gov.br/scpro2327.nsf/18c1dd68f96be3e7832566ec0018d833/ae98a6b0b493100803258ae5006ace70?OpenDocument</t>
        </is>
      </c>
      <c r="W71" s="3">
        <f>RIGHT(C71, 4)</f>
        <v/>
      </c>
      <c r="X71" s="3">
        <f>LEFT(C71, LEN(C71) - 5)</f>
        <v/>
      </c>
    </row>
    <row r="72" ht="90" customHeight="1" s="79">
      <c r="A72" s="2" t="inlineStr">
        <is>
          <t>Projeto Lei</t>
        </is>
      </c>
      <c r="B72" s="4">
        <f>RIGHT(C72,4)</f>
        <v/>
      </c>
      <c r="C72" s="2" t="inlineStr">
        <is>
          <t>3638/2024</t>
        </is>
      </c>
      <c r="D72" s="2" t="inlineStr">
        <is>
          <t>DISPÕE SOBRE O DIREITO DA CRIANÇA OU ADOLESCENTE À PRESENÇA DOS PAIS OU RESPONSÁVEIS DURANTE A REALIZAÇÃO DE EXAMES OU PROCEDIMENTOS QUE INDUZAM O REBAIXAMENTO DO NÍVEL DE CONSCIÊNCIA E DÁ OUTRAS PROVIDÊNCIAS</t>
        </is>
      </c>
      <c r="E72" s="2" t="inlineStr">
        <is>
          <t>MARTHA ROCHA</t>
        </is>
      </c>
      <c r="F72" s="18" t="inlineStr">
        <is>
          <t>ZEIDAN</t>
        </is>
      </c>
      <c r="G72" s="10" t="inlineStr">
        <is>
          <t>FAVORÁVEL</t>
        </is>
      </c>
      <c r="H72" s="37" t="inlineStr">
        <is>
          <t>17/09/2025</t>
        </is>
      </c>
      <c r="I72" s="14" t="inlineStr">
        <is>
          <t>6ªRE
02/09/2025</t>
        </is>
      </c>
      <c r="J72" s="9" t="n">
        <v>45902</v>
      </c>
      <c r="K72" s="9" t="n">
        <v>45820</v>
      </c>
      <c r="L72" s="9" t="n">
        <v>45887</v>
      </c>
      <c r="M72" s="4" t="n"/>
      <c r="N72" s="18" t="n"/>
      <c r="O72" s="10" t="n"/>
      <c r="P72" s="4" t="n"/>
      <c r="Q72" s="19" t="inlineStr">
        <is>
          <t>Não</t>
        </is>
      </c>
      <c r="R72" s="13" t="n"/>
      <c r="S72" s="4" t="n"/>
      <c r="T72" s="4" t="n"/>
      <c r="U72" s="7" t="n"/>
      <c r="V72" s="3" t="inlineStr">
        <is>
          <t>&lt;a href='http://alerjln1.alerj.rj.gov.br/scpro2327.nsf/18c1dd68f96be3e7832566ec0018d833/434b02087baa266703258b2a004c251a?OpenDocument'&gt; LINK&lt;/a&gt;</t>
        </is>
      </c>
      <c r="W72" s="3">
        <f>RIGHT(C72, 4)</f>
        <v/>
      </c>
      <c r="X72" s="3">
        <f>LEFT(C72, LEN(C72) - 5)</f>
        <v/>
      </c>
    </row>
    <row r="73" ht="60" customHeight="1" s="79">
      <c r="A73" s="2" t="inlineStr">
        <is>
          <t>Projeto Lei</t>
        </is>
      </c>
      <c r="B73" s="4">
        <f>RIGHT(C73,4)</f>
        <v/>
      </c>
      <c r="C73" s="2" t="inlineStr">
        <is>
          <t>3978/2024</t>
        </is>
      </c>
      <c r="D73" s="2" t="inlineStr">
        <is>
          <t>ALTERA A LEI Nº. 2237, DE 17 DE MARÇO DE 1994, QUE ESTABELECE A OBRIGATORIEDADE DO DESENVOLVIMENTO DE PROGRAMAS DE CONTROLE DE INFECÇÃO HOSPITALAR</t>
        </is>
      </c>
      <c r="E73" s="2" t="inlineStr">
        <is>
          <t>THIAGO RANGEL</t>
        </is>
      </c>
      <c r="F73" s="18" t="inlineStr">
        <is>
          <t>ZEIDAN</t>
        </is>
      </c>
      <c r="G73" s="10" t="inlineStr">
        <is>
          <t>FAVORÁVEL</t>
        </is>
      </c>
      <c r="H73" s="37" t="inlineStr">
        <is>
          <t>17/09/2025</t>
        </is>
      </c>
      <c r="I73" s="14" t="inlineStr">
        <is>
          <t>6ªRE
02/09/2025</t>
        </is>
      </c>
      <c r="J73" s="9" t="n">
        <v>45902</v>
      </c>
      <c r="K73" s="9" t="n">
        <v>45820</v>
      </c>
      <c r="L73" s="9" t="n">
        <v>45887</v>
      </c>
      <c r="M73" s="4" t="n"/>
      <c r="N73" s="18" t="n"/>
      <c r="O73" s="10" t="n"/>
      <c r="P73" s="4" t="n"/>
      <c r="Q73" s="19" t="inlineStr">
        <is>
          <t>Não</t>
        </is>
      </c>
      <c r="R73" s="13" t="n"/>
      <c r="S73" s="4" t="n"/>
      <c r="T73" s="4" t="n"/>
      <c r="U73" s="7" t="n"/>
      <c r="V73" s="3" t="inlineStr">
        <is>
          <t>&lt;a href='http://alerjln1.alerj.rj.gov.br/scpro2327.nsf/18c1dd68f96be3e7832566ec0018d833/6c671cc69179e98d03258b73004d33c7?OpenDocument'&gt; LINK&lt;/a&gt;</t>
        </is>
      </c>
      <c r="W73" s="3">
        <f>RIGHT(C73, 4)</f>
        <v/>
      </c>
      <c r="X73" s="3">
        <f>LEFT(C73, LEN(C73) - 5)</f>
        <v/>
      </c>
    </row>
    <row r="74" ht="30" customHeight="1" s="79">
      <c r="A74" s="2" t="inlineStr">
        <is>
          <t>Projeto Lei</t>
        </is>
      </c>
      <c r="B74" s="4">
        <f>RIGHT(C74,4)</f>
        <v/>
      </c>
      <c r="C74" s="2" t="inlineStr">
        <is>
          <t>422/2023</t>
        </is>
      </c>
      <c r="D74" s="2" t="inlineStr">
        <is>
          <t>INSTITUI O PROGRAMA ESTADUAL DE COMBATE AO RACISMO RELIGIOSO</t>
        </is>
      </c>
      <c r="E74" s="2" t="inlineStr">
        <is>
          <t>PROFESSOR JOSEMAR</t>
        </is>
      </c>
      <c r="F74" s="18" t="inlineStr">
        <is>
          <t>ZEIDAN</t>
        </is>
      </c>
      <c r="G74" s="10" t="inlineStr">
        <is>
          <t>FAVORÁVEL</t>
        </is>
      </c>
      <c r="H74" s="37" t="inlineStr">
        <is>
          <t>11/02/2026</t>
        </is>
      </c>
      <c r="I74" s="14" t="inlineStr">
        <is>
          <t>8ªRE 
16/12/2025</t>
        </is>
      </c>
      <c r="J74" s="9" t="n">
        <v>45824</v>
      </c>
      <c r="K74" s="9" t="n">
        <v>45848</v>
      </c>
      <c r="L74" s="9" t="n">
        <v>45938</v>
      </c>
      <c r="M74" s="9" t="n">
        <v>46065</v>
      </c>
      <c r="N74" s="18" t="n"/>
      <c r="O74" s="10" t="n"/>
      <c r="P74" s="9" t="n"/>
      <c r="Q74" s="4" t="inlineStr">
        <is>
          <t>Não</t>
        </is>
      </c>
      <c r="R74" s="2" t="n"/>
      <c r="S74" s="4" t="n"/>
      <c r="T74" s="4" t="n"/>
      <c r="U74" s="7" t="n"/>
      <c r="V74" s="3" t="n"/>
      <c r="W74" s="3">
        <f>RIGHT(C74, 4)</f>
        <v/>
      </c>
      <c r="X74" s="3">
        <f>LEFT(C74, LEN(C74) - 5)</f>
        <v/>
      </c>
    </row>
    <row r="75" ht="60" customHeight="1" s="79">
      <c r="A75" s="2" t="inlineStr">
        <is>
          <t>Projeto Lei</t>
        </is>
      </c>
      <c r="B75" s="4">
        <f>RIGHT(C75,4)</f>
        <v/>
      </c>
      <c r="C75" s="2" t="inlineStr">
        <is>
          <t>1535/2023</t>
        </is>
      </c>
      <c r="D75" s="2" t="inlineStr">
        <is>
          <t>CONCEDE AS DOADORAS DE LEITE MATERNO ISENÇÃO DE PAGAMENTO DE TAXA DE INSCRIÇÃO EM CONCURSO PARA PROVIMENTO DE CARGO OU EMPREGO NA ADMINISTRAÇÃO PÚBLICA ESTADUAL.</t>
        </is>
      </c>
      <c r="E75" s="2" t="inlineStr">
        <is>
          <t>BRAZÃO, RODRIGO BACELLAR, E OUTROS</t>
        </is>
      </c>
      <c r="F75" s="18" t="inlineStr">
        <is>
          <t>CARLOS MACEDO</t>
        </is>
      </c>
      <c r="G75" s="10" t="inlineStr">
        <is>
          <t>Sim</t>
        </is>
      </c>
      <c r="H75" s="37" t="n"/>
      <c r="I75" s="14" t="inlineStr">
        <is>
          <t>N/A</t>
        </is>
      </c>
      <c r="J75" s="9" t="n">
        <v>45824</v>
      </c>
      <c r="K75" s="9" t="n">
        <v>45848</v>
      </c>
      <c r="L75" s="9" t="n">
        <v>45881</v>
      </c>
      <c r="M75" s="9" t="n">
        <v>45894</v>
      </c>
      <c r="N75" s="18" t="n"/>
      <c r="O75" s="10" t="n"/>
      <c r="P75" s="9" t="n"/>
      <c r="Q75" s="4" t="inlineStr">
        <is>
          <t>Não</t>
        </is>
      </c>
      <c r="R75" s="13" t="inlineStr">
        <is>
          <t>Foi retirado em 25.08 pois vai a plenário no dia 26.08.
Parecer do relator foi feito e a deliberação seria dia 02.09 (6ªRE)</t>
        </is>
      </c>
      <c r="S75" s="4" t="n"/>
      <c r="T75" s="4" t="n"/>
      <c r="U75" s="7" t="n"/>
      <c r="V75" s="3" t="inlineStr">
        <is>
          <t>&lt;a href='http://alerjln1.alerj.rj.gov.br/scpro2327.nsf/18c1dd68f96be3e7832566ec0018d833/e5b4848b6af70c9f032589dd006a4508?OpenDocument'&gt; LINK&lt;/a&gt;</t>
        </is>
      </c>
      <c r="W75" s="3">
        <f>RIGHT(C75, 4)</f>
        <v/>
      </c>
      <c r="X75" s="3">
        <f>LEFT(C75, LEN(C75) - 5)</f>
        <v/>
      </c>
    </row>
    <row r="76" ht="75" customHeight="1" s="79">
      <c r="A76" s="2" t="inlineStr">
        <is>
          <t>Projeto Lei</t>
        </is>
      </c>
      <c r="B76" s="4">
        <f>RIGHT(C76,4)</f>
        <v/>
      </c>
      <c r="C76" s="2" t="inlineStr">
        <is>
          <t>611/2023</t>
        </is>
      </c>
      <c r="D76" s="2" t="inlineStr">
        <is>
          <t>MODIFICA A LEI ESTADUAL Nº 8667/2019 PARA A CRIAÇÃO DA COMISSÃO DE MEDIAÇÃO DE CONFLITOS – CMC NAS ESCOLAS DA REDE DE ENSINO DO ESTADO DO RIO DE JANEIRO</t>
        </is>
      </c>
      <c r="E76" s="2" t="inlineStr">
        <is>
          <t>ELIKA TAKIMOTO</t>
        </is>
      </c>
      <c r="F76" s="18" t="inlineStr">
        <is>
          <t>ZEIDAN</t>
        </is>
      </c>
      <c r="G76" s="10" t="inlineStr">
        <is>
          <t>FAVORÁVEL, COM A EMENDA DA COMISSÃO DE CONSTITUIÇÃO E JUSTIÇA</t>
        </is>
      </c>
      <c r="H76" s="37" t="inlineStr">
        <is>
          <t>18/09/2025</t>
        </is>
      </c>
      <c r="I76" s="14" t="inlineStr">
        <is>
          <t>6ªRE
02/09/2025</t>
        </is>
      </c>
      <c r="J76" s="9" t="n">
        <v>45824</v>
      </c>
      <c r="K76" s="9" t="n">
        <v>45848</v>
      </c>
      <c r="L76" s="9" t="n">
        <v>45887</v>
      </c>
      <c r="M76" s="4" t="n"/>
      <c r="N76" s="18" t="n"/>
      <c r="O76" s="10" t="n"/>
      <c r="P76" s="4" t="n"/>
      <c r="Q76" s="19" t="inlineStr">
        <is>
          <t>Não</t>
        </is>
      </c>
      <c r="R76" s="13" t="n"/>
      <c r="S76" s="4" t="n"/>
      <c r="T76" s="4" t="n"/>
      <c r="U76" s="7" t="n"/>
      <c r="V76" s="3" t="inlineStr">
        <is>
          <t>&lt;a href='http://alerjln1.alerj.rj.gov.br/scpro2327.nsf/18c1dd68f96be3e7832566ec0018d833/48dbf66ee046f0c403258982005d2fe3?OpenDocument'&gt; LINK&lt;/a&gt;</t>
        </is>
      </c>
      <c r="W76" s="3">
        <f>RIGHT(C76, 4)</f>
        <v/>
      </c>
      <c r="X76" s="3">
        <f>LEFT(C76, LEN(C76) - 5)</f>
        <v/>
      </c>
    </row>
    <row r="77" ht="75" customHeight="1" s="79">
      <c r="A77" s="2" t="inlineStr">
        <is>
          <t>Projeto Lei</t>
        </is>
      </c>
      <c r="B77" s="4">
        <f>RIGHT(C77,4)</f>
        <v/>
      </c>
      <c r="C77" s="2" t="inlineStr">
        <is>
          <t>1315/2023</t>
        </is>
      </c>
      <c r="D77" s="2" t="inlineStr">
        <is>
          <t>PROÍBE A PARTICIPAÇÃO DE CRIANÇAS E ADOLESCENTES EM EVENTOS VOLTADOS À DEFESA DE PREFERÊNCIAS DE GÊNERO E MOVIMENTOS SOBRE DIVERSIDADE SEXUAL NO ÂMBITO DO ESTADO DO RIO DE JANEIRO E DÁ OUTRAS PROVIDÊNCIAS</t>
        </is>
      </c>
      <c r="E77" s="2" t="inlineStr">
        <is>
          <t>ÍNDIA ARMELAU</t>
        </is>
      </c>
      <c r="F77" s="18" t="inlineStr">
        <is>
          <t>CARLOS MACEDO</t>
        </is>
      </c>
      <c r="G77" s="10" t="inlineStr">
        <is>
          <t>CONTRÁRIO</t>
        </is>
      </c>
      <c r="H77" s="37" t="inlineStr">
        <is>
          <t>22/09/2025</t>
        </is>
      </c>
      <c r="I77" s="14" t="inlineStr">
        <is>
          <t>6ªRE
02/09/2025</t>
        </is>
      </c>
      <c r="J77" s="9" t="n">
        <v>45825</v>
      </c>
      <c r="K77" s="9" t="n">
        <v>45848</v>
      </c>
      <c r="L77" s="9" t="n">
        <v>45881</v>
      </c>
      <c r="M77" s="4" t="n"/>
      <c r="N77" s="18" t="n"/>
      <c r="O77" s="10" t="n"/>
      <c r="P77" s="4" t="n"/>
      <c r="Q77" s="4" t="inlineStr">
        <is>
          <t>Não</t>
        </is>
      </c>
      <c r="R77" s="13" t="n"/>
      <c r="S77" s="4" t="n"/>
      <c r="T77" s="4" t="n"/>
      <c r="U77" s="7" t="n"/>
      <c r="V77" s="3" t="inlineStr">
        <is>
          <t>&lt;a href='http://alerjln1.alerj.rj.gov.br/scpro2327.nsf/18c1dd68f96be3e7832566ec0018d833/486e380d4ee4bbcb032589ce004d1188?OpenDocument'&gt; LINK&lt;/a&gt;</t>
        </is>
      </c>
      <c r="W77" s="3">
        <f>RIGHT(C77, 4)</f>
        <v/>
      </c>
      <c r="X77" s="3">
        <f>LEFT(C77, LEN(C77) - 5)</f>
        <v/>
      </c>
    </row>
    <row r="78" ht="105" customHeight="1" s="79">
      <c r="A78" s="2" t="inlineStr">
        <is>
          <t>Projeto Lei</t>
        </is>
      </c>
      <c r="B78" s="4">
        <f>RIGHT(C78,4)</f>
        <v/>
      </c>
      <c r="C78" s="2" t="inlineStr">
        <is>
          <t>1560/2019</t>
        </is>
      </c>
      <c r="D78" s="2" t="inlineStr">
        <is>
          <t>CRIA O “PROGRAMA PRATA DA CASA”, QUE ESTABELECE A OBRIGATORIEDADE DE DISPONIBILIZAÇÃO DE OPORTUNIDADE PARA A APRESENTAÇÃO DE GRUPOS, BANDAS, CANTORES OU INSTRUMENTISTAS DO ESTADO DO RIO DE JANEIRO NA ABERTURA DE EVENTOS MUSICAIS QUE CONTEM COM FINANCIAMENTO PÚBLICO ESTADUAL</t>
        </is>
      </c>
      <c r="E78" s="2" t="inlineStr">
        <is>
          <t>RODRIGO BACELLAR</t>
        </is>
      </c>
      <c r="F78" s="18" t="inlineStr">
        <is>
          <t>ZEIDAN</t>
        </is>
      </c>
      <c r="G78" s="10" t="n"/>
      <c r="H78" s="37" t="n"/>
      <c r="I78" s="14" t="n"/>
      <c r="J78" s="9" t="n">
        <v>45831</v>
      </c>
      <c r="K78" s="9" t="n">
        <v>45848</v>
      </c>
      <c r="L78" s="9" t="n"/>
      <c r="M78" s="4" t="n"/>
      <c r="N78" s="18" t="n"/>
      <c r="O78" s="10" t="n"/>
      <c r="P78" s="4" t="n"/>
      <c r="Q78" s="4" t="inlineStr">
        <is>
          <t>Sim</t>
        </is>
      </c>
      <c r="R78" s="13" t="n"/>
      <c r="S78" s="4" t="n"/>
      <c r="T78" s="4" t="n"/>
      <c r="U78" s="7" t="n"/>
      <c r="V78" s="3" t="n"/>
      <c r="W78" s="3">
        <f>RIGHT(C78, 4)</f>
        <v/>
      </c>
      <c r="X78" s="3">
        <f>LEFT(C78, LEN(C78) - 5)</f>
        <v/>
      </c>
    </row>
    <row r="79" ht="45" customHeight="1" s="79">
      <c r="A79" s="2" t="inlineStr">
        <is>
          <t>Projeto Lei</t>
        </is>
      </c>
      <c r="B79" s="4">
        <f>RIGHT(C79,4)</f>
        <v/>
      </c>
      <c r="C79" s="2" t="inlineStr">
        <is>
          <t>6138/2022</t>
        </is>
      </c>
      <c r="D79" s="2" t="inlineStr">
        <is>
          <t>INSTITUI A CAMPANHA DE INCENTIVO À EMISSÃO DA CARTEIRA DE IDENTIFICAÇÃO CIVIL DE CRIANÇAS (OU NA PRIMEIRA INFÂNCIA), NA FORMA QUE MENCIONA</t>
        </is>
      </c>
      <c r="E79" s="2" t="inlineStr">
        <is>
          <t>TIA JU</t>
        </is>
      </c>
      <c r="F79" s="18" t="inlineStr">
        <is>
          <t>ZEIDAN</t>
        </is>
      </c>
      <c r="G79" s="10" t="n"/>
      <c r="H79" s="37" t="n"/>
      <c r="I79" s="14" t="n"/>
      <c r="J79" s="9" t="n">
        <v>45831</v>
      </c>
      <c r="K79" s="9" t="n">
        <v>45848</v>
      </c>
      <c r="L79" s="9" t="n"/>
      <c r="M79" s="4" t="n"/>
      <c r="N79" s="18" t="n"/>
      <c r="O79" s="10" t="n"/>
      <c r="P79" s="4" t="n"/>
      <c r="Q79" s="4" t="inlineStr">
        <is>
          <t>Sim</t>
        </is>
      </c>
      <c r="R79" s="13" t="n"/>
      <c r="S79" s="4" t="n"/>
      <c r="T79" s="4" t="n"/>
      <c r="U79" s="7" t="n"/>
      <c r="V79" s="3" t="n"/>
      <c r="W79" s="3">
        <f>RIGHT(C79, 4)</f>
        <v/>
      </c>
      <c r="X79" s="3">
        <f>LEFT(C79, LEN(C79) - 5)</f>
        <v/>
      </c>
    </row>
    <row r="80" ht="75" customHeight="1" s="79">
      <c r="A80" s="2" t="inlineStr">
        <is>
          <t>Projeto Lei</t>
        </is>
      </c>
      <c r="B80" s="4">
        <f>RIGHT(C80,4)</f>
        <v/>
      </c>
      <c r="C80" s="73" t="inlineStr">
        <is>
          <t>1728/2023</t>
        </is>
      </c>
      <c r="D80" s="2" t="inlineStr">
        <is>
          <t>DISPÕE SOBRE O PRÉ-NATAL MASCULINO NO ESTADO DO RIO DE JANEIRO E DÁ OUTRAS PROVIDÊNCIAS</t>
        </is>
      </c>
      <c r="E80" s="2" t="inlineStr">
        <is>
          <t>YURI</t>
        </is>
      </c>
      <c r="F80" s="18" t="inlineStr">
        <is>
          <t>CARLOS MACEDO</t>
        </is>
      </c>
      <c r="G80" s="10" t="inlineStr">
        <is>
          <t>FAVORÁVEL AO SUBSTITUTIVO DA COMISSÃO DE CONSTITUIÇÃO E JUSTIÇA</t>
        </is>
      </c>
      <c r="H80" s="37" t="inlineStr">
        <is>
          <t>19/09/2025</t>
        </is>
      </c>
      <c r="I80" s="14" t="inlineStr">
        <is>
          <t>6ªRE
02/09/2025</t>
        </is>
      </c>
      <c r="J80" s="9" t="n">
        <v>45831</v>
      </c>
      <c r="K80" s="9" t="n">
        <v>45848</v>
      </c>
      <c r="L80" s="9" t="n">
        <v>45881</v>
      </c>
      <c r="M80" s="4" t="n"/>
      <c r="N80" s="18" t="n"/>
      <c r="O80" s="10" t="n"/>
      <c r="P80" s="4" t="n"/>
      <c r="Q80" s="4" t="inlineStr">
        <is>
          <t>Não</t>
        </is>
      </c>
      <c r="R80" s="13" t="n"/>
      <c r="S80" s="4" t="n"/>
      <c r="T80" s="4" t="n"/>
      <c r="U80" s="7" t="n"/>
      <c r="V80" s="3" t="inlineStr">
        <is>
          <t>http://alerjln1.alerj.rj.gov.br/scpro2327.nsf/18c1dd68f96be3e7832566ec0018d833/f9d4e30cdd0d639803258a08007a72e8?OpenDocument</t>
        </is>
      </c>
      <c r="W80" s="3">
        <f>RIGHT(C80, 4)</f>
        <v/>
      </c>
      <c r="X80" s="3">
        <f>LEFT(C80, LEN(C80) - 5)</f>
        <v/>
      </c>
    </row>
    <row r="81" ht="60" customHeight="1" s="79">
      <c r="A81" s="2" t="inlineStr">
        <is>
          <t>Projeto Lei</t>
        </is>
      </c>
      <c r="B81" s="4">
        <f>RIGHT(C81,4)</f>
        <v/>
      </c>
      <c r="C81" s="2" t="inlineStr">
        <is>
          <t>4061/2021</t>
        </is>
      </c>
      <c r="D81" s="2" t="inlineStr">
        <is>
          <t>DISPÕE SOBRE O COMPARTILHAMENTO DE INFORMAÇÕES DE IDENTIFICAÇÃO CIVIL ENTRE OS ÓRGÃOS DA ADMINISTRAÇÃO DIRETA E INDIRETA DO ESTADO DO RIO DE JANEIRO E SEUS MUNICÍPIOS</t>
        </is>
      </c>
      <c r="E81" s="2" t="inlineStr">
        <is>
          <t>ÁTILA NUNES</t>
        </is>
      </c>
      <c r="F81" s="18" t="inlineStr">
        <is>
          <t>VINICIUS COZZOLINO</t>
        </is>
      </c>
      <c r="G81" s="10" t="inlineStr">
        <is>
          <t>FAVORÁVEL COM EMENDA</t>
        </is>
      </c>
      <c r="H81" s="37" t="inlineStr">
        <is>
          <t>18/09/2025</t>
        </is>
      </c>
      <c r="I81" s="14" t="inlineStr">
        <is>
          <t>6ªRE
02/09/2025</t>
        </is>
      </c>
      <c r="J81" s="9" t="n">
        <v>45902</v>
      </c>
      <c r="K81" s="4" t="n"/>
      <c r="L81" s="9" t="n">
        <v>45834</v>
      </c>
      <c r="M81" s="4" t="n"/>
      <c r="N81" s="18" t="n"/>
      <c r="O81" s="10" t="n"/>
      <c r="P81" s="4" t="n"/>
      <c r="Q81" s="19" t="inlineStr">
        <is>
          <t>Não</t>
        </is>
      </c>
      <c r="R81" s="13" t="n"/>
      <c r="S81" s="4" t="n"/>
      <c r="T81" s="4" t="n"/>
      <c r="U81" s="7" t="n"/>
      <c r="V81" s="3" t="inlineStr">
        <is>
          <t>&lt;a href='http://alerjln1.alerj.rj.gov.br/scpro1923.nsf/18c1dd68f96be3e7832566ec0018d833/40f0df3251492f26032586c40049c0c6?OpenDocument'&gt; LINK&lt;/a&gt;</t>
        </is>
      </c>
      <c r="W81" s="3">
        <f>RIGHT(C81, 4)</f>
        <v/>
      </c>
      <c r="X81" s="3">
        <f>LEFT(C81, LEN(C81) - 5)</f>
        <v/>
      </c>
    </row>
    <row r="82" ht="90" customHeight="1" s="79">
      <c r="A82" s="2" t="inlineStr">
        <is>
          <t>Projeto Lei</t>
        </is>
      </c>
      <c r="B82" s="4">
        <f>RIGHT(C82,4)</f>
        <v/>
      </c>
      <c r="C82" s="2" t="inlineStr">
        <is>
          <t>EP 877/2019</t>
        </is>
      </c>
      <c r="D82" s="2" t="inlineStr">
        <is>
          <t>DISPÕE SOBRE A OBRIGATORIEDADE DOS PROFISSIONAIS E FUNCIONÁRIOS QUE TRABALHAM NA ÁREA DA SAÚDE, APRESENTAR PERIODICAMENTE COMPROVANTE DE VACINAÇÃO E MANTER SEU CARTÃO DE VACINAS ATUALIZADO, NO ÂMBITO DO ESTADO DO RIO DE JANEIRO.</t>
        </is>
      </c>
      <c r="E82" s="2" t="inlineStr">
        <is>
          <t>MARINA ROCHA</t>
        </is>
      </c>
      <c r="F82" s="18" t="inlineStr">
        <is>
          <t>VINICIUS COZZOLINO</t>
        </is>
      </c>
      <c r="G82" s="10" t="inlineStr">
        <is>
          <t>FAVORÁVEL COM AS EMENDAS DA COMISSÃO DE CONSTITUIÇÃO E JUSTIÇA</t>
        </is>
      </c>
      <c r="H82" s="37" t="inlineStr">
        <is>
          <t>18/09/2025</t>
        </is>
      </c>
      <c r="I82" s="14" t="inlineStr">
        <is>
          <t>6ªRE
02/09/2025</t>
        </is>
      </c>
      <c r="J82" s="4" t="n"/>
      <c r="K82" s="4" t="n"/>
      <c r="L82" s="9" t="n">
        <v>45834</v>
      </c>
      <c r="M82" s="4" t="n"/>
      <c r="N82" s="18" t="n"/>
      <c r="O82" s="10" t="n"/>
      <c r="P82" s="4" t="n"/>
      <c r="Q82" s="19" t="inlineStr">
        <is>
          <t>Não</t>
        </is>
      </c>
      <c r="R82" s="13" t="n"/>
      <c r="S82" s="4" t="n"/>
      <c r="T82" s="4" t="n"/>
      <c r="U82" s="7" t="n"/>
      <c r="V82" s="3" t="n"/>
      <c r="W82" s="3">
        <f>RIGHT(C82, 4)</f>
        <v/>
      </c>
      <c r="X82" s="3">
        <f>LEFT(C82, LEN(C82) - 5)</f>
        <v/>
      </c>
    </row>
    <row r="83" ht="90" customHeight="1" s="79">
      <c r="A83" s="2" t="inlineStr">
        <is>
          <t>Projeto Lei</t>
        </is>
      </c>
      <c r="B83" s="4">
        <f>RIGHT(C83,4)</f>
        <v/>
      </c>
      <c r="C83" s="2" t="inlineStr">
        <is>
          <t>61/2023</t>
        </is>
      </c>
      <c r="D83" s="2" t="inlineStr">
        <is>
          <t>CRIA CAMPOS ESPECÍFICOS NOS REGISTROS DE OCORRÊNCIA DA POLÍCIA CIVIL, RELATIVOS AOS TIPOS DE TRANSPORTE EM QUE OCORRERAM   CRIMES RELACIONADOS À VIOLÊNCIA CONTRA A MULHER NO ESTADO DO RIO DE JANEIRO, E DÁ OUTRAS PROVIDÊNCIAS.</t>
        </is>
      </c>
      <c r="E83" s="2" t="inlineStr">
        <is>
          <t>MARTHA ROCHA</t>
        </is>
      </c>
      <c r="F83" s="18" t="inlineStr">
        <is>
          <t>VINICIUS COZZOLINO</t>
        </is>
      </c>
      <c r="G83" s="10" t="inlineStr">
        <is>
          <t>FAVORÁVEL COM AS EMENDAS DA COMISSÃO DE CONSTITUIÇÃO E JUSTIÇA</t>
        </is>
      </c>
      <c r="H83" s="37" t="inlineStr">
        <is>
          <t>18/09/2025</t>
        </is>
      </c>
      <c r="I83" s="14" t="inlineStr">
        <is>
          <t>6ªRE
02/09/2025</t>
        </is>
      </c>
      <c r="J83" s="9" t="n">
        <v>45902</v>
      </c>
      <c r="K83" s="4" t="n"/>
      <c r="L83" s="9" t="n">
        <v>45834</v>
      </c>
      <c r="M83" s="4" t="n"/>
      <c r="N83" s="18" t="n"/>
      <c r="O83" s="10" t="n"/>
      <c r="P83" s="4" t="n"/>
      <c r="Q83" s="19" t="inlineStr">
        <is>
          <t>Não</t>
        </is>
      </c>
      <c r="R83" s="13" t="n"/>
      <c r="S83" s="4" t="n"/>
      <c r="T83" s="4" t="n"/>
      <c r="U83" s="7" t="n"/>
      <c r="V83" s="3" t="inlineStr">
        <is>
          <t>&lt;a href='http://alerjln1.alerj.rj.gov.br/scpro2327.nsf/18c1dd68f96be3e7832566ec0018d833/46fd05aaf5c44dec0325894f0050ea91?OpenDocument'&gt; LINK&lt;/a&gt;</t>
        </is>
      </c>
      <c r="W83" s="3">
        <f>RIGHT(C83, 4)</f>
        <v/>
      </c>
      <c r="X83" s="3">
        <f>LEFT(C83, LEN(C83) - 5)</f>
        <v/>
      </c>
    </row>
    <row r="84" ht="60" customHeight="1" s="79">
      <c r="A84" s="2" t="inlineStr">
        <is>
          <t>Projeto Lei</t>
        </is>
      </c>
      <c r="B84" s="4">
        <f>RIGHT(C84,4)</f>
        <v/>
      </c>
      <c r="C84" s="2" t="inlineStr">
        <is>
          <t>3448/2020</t>
        </is>
      </c>
      <c r="D84" s="2" t="inlineStr">
        <is>
          <t>ESTABELECE PROCEDIMENTO PARA CONCESSÃO IMEDIATA DO BENEFÍCIO DE PENSÃO POR MORTE DE AGENTE DE SEGURANÇA PÚBLICA, NA FORMA QUE MENCIONA</t>
        </is>
      </c>
      <c r="E84" s="2" t="inlineStr">
        <is>
          <t>ANDERSON MORAES, Filipe Soares</t>
        </is>
      </c>
      <c r="F84" s="18" t="inlineStr">
        <is>
          <t>VINICIUS COZZOLINO</t>
        </is>
      </c>
      <c r="G84" s="10" t="inlineStr">
        <is>
          <t>Sim</t>
        </is>
      </c>
      <c r="H84" s="37" t="n"/>
      <c r="I84" s="14" t="inlineStr">
        <is>
          <t>N/A</t>
        </is>
      </c>
      <c r="J84" s="4" t="n"/>
      <c r="K84" s="4" t="n"/>
      <c r="L84" s="9" t="n">
        <v>45834</v>
      </c>
      <c r="M84" s="4" t="n"/>
      <c r="N84" s="18" t="n"/>
      <c r="O84" s="10" t="n"/>
      <c r="P84" s="4" t="n"/>
      <c r="Q84" s="4" t="inlineStr">
        <is>
          <t>Não</t>
        </is>
      </c>
      <c r="R84" s="13" t="inlineStr">
        <is>
          <t>Ofício nº128/2025/GDVC remetendo à MD por se tratar de TIL</t>
        </is>
      </c>
      <c r="S84" s="4" t="n"/>
      <c r="T84" s="4" t="n"/>
      <c r="U84" s="7" t="n"/>
      <c r="V84" s="3" t="n"/>
      <c r="W84" s="3">
        <f>RIGHT(C84, 4)</f>
        <v/>
      </c>
      <c r="X84" s="3">
        <f>LEFT(C84, LEN(C84) - 5)</f>
        <v/>
      </c>
    </row>
    <row r="85" ht="105" customHeight="1" s="79">
      <c r="A85" s="2" t="inlineStr">
        <is>
          <t>Projeto Lei</t>
        </is>
      </c>
      <c r="B85" s="4">
        <f>RIGHT(C85,4)</f>
        <v/>
      </c>
      <c r="C85" s="73" t="inlineStr">
        <is>
          <t>3976/2018</t>
        </is>
      </c>
      <c r="D85" s="2" t="inlineStr">
        <is>
          <t>DISPÕE SOBRE NORMAS DE TRIBUTAÇÃO PARA A AQUISIÇÃO DE MATERIAIS INDISPENSÁVEIS AO EXERCÍCIO DA PROFISSÃO POR POLICIAL MILITAR, POLICIAL CIVIL, BOMBEIRO MILITAR E INSPETOR DE SEGURANÇA E ADMINISTRAÇÃO PENITENCIÁRIA DO ESTADO DO RIO DE JANEIRO</t>
        </is>
      </c>
      <c r="E85" s="2" t="inlineStr">
        <is>
          <t>FILIPE SOARES</t>
        </is>
      </c>
      <c r="F85" s="18" t="inlineStr">
        <is>
          <t>CARLOS MACEDO</t>
        </is>
      </c>
      <c r="G85" s="10" t="inlineStr">
        <is>
          <t>FAVORÁVEL</t>
        </is>
      </c>
      <c r="H85" s="37" t="inlineStr">
        <is>
          <t>11/02/2026</t>
        </is>
      </c>
      <c r="I85" s="14" t="inlineStr">
        <is>
          <t>8ªRE 
16/12/2025</t>
        </is>
      </c>
      <c r="J85" s="4" t="n"/>
      <c r="K85" s="9" t="n"/>
      <c r="L85" s="9" t="n"/>
      <c r="M85" s="9" t="n">
        <v>46065</v>
      </c>
      <c r="N85" s="18" t="n"/>
      <c r="O85" s="10" t="n"/>
      <c r="P85" s="9" t="n"/>
      <c r="Q85" s="4" t="inlineStr">
        <is>
          <t>Não</t>
        </is>
      </c>
      <c r="R85" s="13" t="inlineStr">
        <is>
          <t>Teve pedido de vista pelo dep. VINICIUS COZZOLINO em 2024 e foi parar no gab. do LP. Foi devolvido a comissao em 10-07-2025
Levei ao gab. Do Dep. Cozzolino para avaliar essa vista, em 18/08/2025</t>
        </is>
      </c>
      <c r="S85" s="4" t="n"/>
      <c r="T85" s="4" t="n"/>
      <c r="U85" s="7" t="n"/>
      <c r="V85" s="3" t="inlineStr">
        <is>
          <t>http://alerjln1.alerj.rj.gov.br/scpro1519.nsf/18c1dd68f96be3e7832566ec0018d833/c476e6ae08b94c6d832582660056ae2f?OpenDocument</t>
        </is>
      </c>
      <c r="W85" s="3">
        <f>RIGHT(C85, 4)</f>
        <v/>
      </c>
      <c r="X85" s="3">
        <f>LEFT(C85, LEN(C85) - 5)</f>
        <v/>
      </c>
    </row>
    <row r="86" ht="75" customHeight="1" s="79">
      <c r="A86" s="2" t="inlineStr">
        <is>
          <t>Projeto Lei</t>
        </is>
      </c>
      <c r="B86" s="4">
        <f>RIGHT(C86,4)</f>
        <v/>
      </c>
      <c r="C86" s="2" t="inlineStr">
        <is>
          <t>1725/2023</t>
        </is>
      </c>
      <c r="D86" s="2" t="inlineStr">
        <is>
          <t>AUTORIZA O PODER EXECUTIVO A AUMENTAR O NÚMERO DE VAGAS DISPONIBILIZADAS NO CONCURSO QOA/2023 DA POLÍCIA MILITAR DO ESTADO DO RIO DE JANEIRO, NA FORMA EM QUE MENCIONA</t>
        </is>
      </c>
      <c r="E86" s="2" t="inlineStr">
        <is>
          <t>ROSENVERG REIS</t>
        </is>
      </c>
      <c r="F86" s="18" t="inlineStr">
        <is>
          <t>ANDRÉZINHO CECILIANO</t>
        </is>
      </c>
      <c r="G86" s="10" t="inlineStr">
        <is>
          <t>Sim</t>
        </is>
      </c>
      <c r="H86" s="37" t="n"/>
      <c r="I86" s="50" t="n">
        <v>46007</v>
      </c>
      <c r="J86" s="9" t="n"/>
      <c r="K86" s="9" t="n"/>
      <c r="L86" s="9" t="n"/>
      <c r="M86" s="9" t="n"/>
      <c r="N86" s="18" t="n"/>
      <c r="O86" s="10" t="n"/>
      <c r="P86" s="9" t="n"/>
      <c r="Q86" s="4" t="inlineStr">
        <is>
          <t>Sim</t>
        </is>
      </c>
      <c r="R86" s="2" t="inlineStr">
        <is>
          <t>Tem parecer de 2024 porém estava redistribuido e como é TIL, deve ser encaminhado para a MD</t>
        </is>
      </c>
      <c r="S86" s="4" t="n"/>
      <c r="T86" s="4" t="n"/>
      <c r="U86" s="7" t="n"/>
      <c r="V86" s="3" t="n"/>
      <c r="W86" s="3">
        <f>RIGHT(C86, 4)</f>
        <v/>
      </c>
      <c r="X86" s="3">
        <f>LEFT(C86, LEN(C86) - 5)</f>
        <v/>
      </c>
    </row>
    <row r="87" ht="45" customHeight="1" s="79">
      <c r="A87" s="2" t="inlineStr">
        <is>
          <t>Projeto Lei</t>
        </is>
      </c>
      <c r="B87" s="4">
        <f>RIGHT(C87,4)</f>
        <v/>
      </c>
      <c r="C87" s="73" t="inlineStr">
        <is>
          <t>3948/2024</t>
        </is>
      </c>
      <c r="D87" s="2" t="inlineStr">
        <is>
          <t>INSTITUI A CAMPANHA DE CONSCIENTIZAÇÃO SOBRE ALERGIA ALIMENTAR EM ANIMAIS DOMÉSTICOS E DÁ OUTRAS PROVIDÊNCIAS.</t>
        </is>
      </c>
      <c r="E87" s="2" t="inlineStr">
        <is>
          <t>FRED PACHECO</t>
        </is>
      </c>
      <c r="F87" s="18" t="inlineStr">
        <is>
          <t>ALEXANDRE KNOPLOCH</t>
        </is>
      </c>
      <c r="G87" s="10" t="inlineStr">
        <is>
          <t>FAVORÁVEL</t>
        </is>
      </c>
      <c r="H87" s="37" t="inlineStr">
        <is>
          <t>18/09/2025</t>
        </is>
      </c>
      <c r="I87" s="14" t="inlineStr">
        <is>
          <t>6ªRE
02/09/2025</t>
        </is>
      </c>
      <c r="J87" s="9" t="n">
        <v>45917</v>
      </c>
      <c r="K87" s="4" t="n"/>
      <c r="L87" s="9" t="n">
        <v>45848</v>
      </c>
      <c r="M87" s="4" t="n"/>
      <c r="N87" s="18" t="n"/>
      <c r="O87" s="10" t="n"/>
      <c r="P87" s="4" t="n"/>
      <c r="Q87" s="19" t="inlineStr">
        <is>
          <t>Não</t>
        </is>
      </c>
      <c r="R87" s="13" t="n"/>
      <c r="S87" s="4" t="n"/>
      <c r="T87" s="4" t="n"/>
      <c r="U87" s="7" t="n"/>
      <c r="V87" s="3" t="inlineStr">
        <is>
          <t>http://alerjln1.alerj.rj.gov.br/scpro2327.nsf/18c1dd68f96be3e7832566ec0018d833/63ed605fe1a93f5703258b7200511a54?OpenDocument</t>
        </is>
      </c>
      <c r="W87" s="3">
        <f>RIGHT(C87, 4)</f>
        <v/>
      </c>
      <c r="X87" s="3">
        <f>LEFT(C87, LEN(C87) - 5)</f>
        <v/>
      </c>
    </row>
    <row r="88" ht="105" customHeight="1" s="79">
      <c r="A88" s="2" t="inlineStr">
        <is>
          <t>Projeto Lei</t>
        </is>
      </c>
      <c r="B88" s="4">
        <f>RIGHT(C88,4)</f>
        <v/>
      </c>
      <c r="C88" s="73" t="inlineStr">
        <is>
          <t>EP 417/2023</t>
        </is>
      </c>
      <c r="D88" s="2" t="inlineStr">
        <is>
          <t>AUTORIZA A COLOCAÇÃO DE TORNEIRAS DE ÁGUA POTÁVEL, EM AMBIENTES PÚBLICOS, DESTINADAS A ANIMAIS.</t>
        </is>
      </c>
      <c r="E88" s="2" t="inlineStr">
        <is>
          <t>JORGE FELIPPE NETO</t>
        </is>
      </c>
      <c r="F88" s="18" t="inlineStr">
        <is>
          <t>ALEXANDRE KNOPLOCH</t>
        </is>
      </c>
      <c r="G88" s="10" t="inlineStr">
        <is>
          <t>FAVORÁVEL ÀS EMENDAS DE PLENÁRIO COM O SUBSTITUTIVO DA COMISSÃO DE CONSTITUIÇÃO E JUSTIÇA</t>
        </is>
      </c>
      <c r="H88" s="37" t="inlineStr">
        <is>
          <t>23/09/2025</t>
        </is>
      </c>
      <c r="I88" s="14" t="inlineStr">
        <is>
          <t>6ªRE
02/09/2025</t>
        </is>
      </c>
      <c r="J88" s="4" t="n"/>
      <c r="K88" s="4" t="n"/>
      <c r="L88" s="9" t="n">
        <v>45848</v>
      </c>
      <c r="M88" s="4" t="n"/>
      <c r="N88" s="18" t="n"/>
      <c r="O88" s="10" t="n"/>
      <c r="P88" s="4" t="n"/>
      <c r="Q88" s="4" t="inlineStr">
        <is>
          <t>Não</t>
        </is>
      </c>
      <c r="R88" s="13" t="n"/>
      <c r="S88" s="4" t="n"/>
      <c r="T88" s="4" t="n"/>
      <c r="U88" s="7" t="n"/>
      <c r="V88" s="3" t="inlineStr">
        <is>
          <t>http://alerjln1.alerj.rj.gov.br/scpro2327.nsf/18c1dd68f96be3e7832566ec0018d833/0a2a9d9661b6c9c10325897100682b9e?OpenDocument</t>
        </is>
      </c>
      <c r="W88" s="3">
        <f>RIGHT(C88, 4)</f>
        <v/>
      </c>
      <c r="X88" s="3">
        <f>LEFT(C88, LEN(C88) - 5)</f>
        <v/>
      </c>
    </row>
    <row r="89" ht="90" customHeight="1" s="79">
      <c r="A89" s="2" t="inlineStr">
        <is>
          <t>Projeto Lei</t>
        </is>
      </c>
      <c r="B89" s="4">
        <f>RIGHT(C89,4)</f>
        <v/>
      </c>
      <c r="C89" s="73" t="inlineStr">
        <is>
          <t>EP 229/2023</t>
        </is>
      </c>
      <c r="D89" s="2" t="inlineStr">
        <is>
          <t>DISPÕE SOBRE A FORMULAÇÃO E IMPLEMENTAÇÃO DE PROGRAMAS E POLÍTICAS PÚBLICAS DESTINADAS ÀS CAMPANHAS PERMANENTES DE PREVENÇÃO, DIAGNÓSTICO E TRATAMENTO DA MOLÉSTIA TOXOPLASMOSE, NO ÂMBITO DO ESTADO DO RIO DE JANEIRO</t>
        </is>
      </c>
      <c r="E89" s="2" t="inlineStr">
        <is>
          <t>BERNARDO ROSSI</t>
        </is>
      </c>
      <c r="F89" s="18" t="inlineStr">
        <is>
          <t>ALEXANDRE KNOPLOCH</t>
        </is>
      </c>
      <c r="G89" s="10" t="inlineStr">
        <is>
          <t>FAVORÁVEL AO SUBSTITUTIVO DA COMISSÃO DE CONSTITUIÇÃO E JUSTIÇA</t>
        </is>
      </c>
      <c r="H89" s="37" t="inlineStr">
        <is>
          <t>23/09/2025</t>
        </is>
      </c>
      <c r="I89" s="14" t="inlineStr">
        <is>
          <t>6ªRE
02/09/2025</t>
        </is>
      </c>
      <c r="J89" s="9" t="n">
        <v>45922</v>
      </c>
      <c r="K89" s="4" t="n"/>
      <c r="L89" s="9" t="n">
        <v>45848</v>
      </c>
      <c r="M89" s="4" t="n"/>
      <c r="N89" s="18" t="n"/>
      <c r="O89" s="10" t="n"/>
      <c r="P89" s="4" t="n"/>
      <c r="Q89" s="4" t="inlineStr">
        <is>
          <t>Não</t>
        </is>
      </c>
      <c r="R89" s="13" t="n"/>
      <c r="S89" s="4" t="n"/>
      <c r="T89" s="4" t="n"/>
      <c r="U89" s="7" t="n"/>
      <c r="V89" s="3" t="inlineStr">
        <is>
          <t>http://alerjln1.alerj.rj.gov.br/scpro2327.nsf/18c1dd68f96be3e7832566ec0018d833/cb214d17cf3dd4b0032589560079eff2?OpenDocument</t>
        </is>
      </c>
      <c r="W89" s="3">
        <f>RIGHT(C89, 4)</f>
        <v/>
      </c>
      <c r="X89" s="3">
        <f>LEFT(C89, LEN(C89) - 5)</f>
        <v/>
      </c>
    </row>
    <row r="90" ht="75" customHeight="1" s="79">
      <c r="A90" s="2" t="inlineStr">
        <is>
          <t>Projeto Lei</t>
        </is>
      </c>
      <c r="B90" s="4">
        <f>RIGHT(C90,4)</f>
        <v/>
      </c>
      <c r="C90" s="73" t="inlineStr">
        <is>
          <t>1194/2023</t>
        </is>
      </c>
      <c r="D90" s="2" t="inlineStr">
        <is>
          <t>INSTITUI O PROGRAMA DE PREVENÇÃO E CONTROLE DO DIABETES NAS ESCOLAS PÚBLICAS E PRIVADAS DO ESTADO DO RIO DE JANEIRO E DÁ OUTRAS PROVIDÊNCIAS</t>
        </is>
      </c>
      <c r="E90" s="2" t="inlineStr">
        <is>
          <t>ELIKA TAKIMOTO, MÁRCIO CANELLA, Tande Vieira</t>
        </is>
      </c>
      <c r="F90" s="18" t="inlineStr">
        <is>
          <t>ALEXANDRE KNOPLOCH</t>
        </is>
      </c>
      <c r="G90" s="10" t="inlineStr">
        <is>
          <t>FAVORÁVEL COM AS EMENDAS DA COMISSÃO DE CONSTITUIÇÃO E JUSTIÇA</t>
        </is>
      </c>
      <c r="H90" s="37" t="inlineStr">
        <is>
          <t>23/09/2025</t>
        </is>
      </c>
      <c r="I90" s="14" t="inlineStr">
        <is>
          <t>6ªRE
02/09/2025</t>
        </is>
      </c>
      <c r="J90" s="9" t="n"/>
      <c r="K90" s="4" t="n"/>
      <c r="L90" s="9" t="n">
        <v>45848</v>
      </c>
      <c r="M90" s="4" t="n"/>
      <c r="N90" s="18" t="n"/>
      <c r="O90" s="10" t="n"/>
      <c r="P90" s="4" t="n"/>
      <c r="Q90" s="4" t="inlineStr">
        <is>
          <t>Não</t>
        </is>
      </c>
      <c r="R90" s="13" t="inlineStr">
        <is>
          <t>1276/2023 apenso</t>
        </is>
      </c>
      <c r="S90" s="4" t="n"/>
      <c r="T90" s="4" t="n"/>
      <c r="U90" s="7" t="n"/>
      <c r="V90" s="3" t="inlineStr">
        <is>
          <t>http://alerjln1.alerj.rj.gov.br/scpro2327.nsf/18c1dd68f96be3e7832566ec0018d833/0722777cb7a9a3e5032589bf0064572c?OpenDocument</t>
        </is>
      </c>
      <c r="W90" s="3">
        <f>RIGHT(C90, 4)</f>
        <v/>
      </c>
      <c r="X90" s="3">
        <f>LEFT(C90, LEN(C90) - 5)</f>
        <v/>
      </c>
    </row>
    <row r="91" ht="75" customHeight="1" s="79">
      <c r="A91" s="2" t="inlineStr">
        <is>
          <t>Projeto Lei</t>
        </is>
      </c>
      <c r="B91" s="4">
        <f>RIGHT(C91,4)</f>
        <v/>
      </c>
      <c r="C91" s="73" t="inlineStr">
        <is>
          <t>4132/2024</t>
        </is>
      </c>
      <c r="D91" s="2" t="inlineStr">
        <is>
          <t xml:space="preserve">CRIA O PROGRAMA “LAÇO AMARELO” PARA CÃES QUE “PRECISAM DE ESPAÇO”. </t>
        </is>
      </c>
      <c r="E91" s="2" t="inlineStr">
        <is>
          <t>RODRIGO AMORIM</t>
        </is>
      </c>
      <c r="F91" s="18" t="inlineStr">
        <is>
          <t>ALEXANDRE KNOPLOCH</t>
        </is>
      </c>
      <c r="G91" s="10" t="inlineStr">
        <is>
          <t>FAVORÁVEL COM AS EMENDAS DA COMISSÃO DE CONSTITUIÇÃO E JUSTIÇA</t>
        </is>
      </c>
      <c r="H91" s="37" t="inlineStr">
        <is>
          <t>11/02/2026</t>
        </is>
      </c>
      <c r="I91" s="14" t="inlineStr">
        <is>
          <t>8ªRE 
16/12/2025</t>
        </is>
      </c>
      <c r="J91" s="9" t="n">
        <v>45902</v>
      </c>
      <c r="K91" s="4" t="n"/>
      <c r="L91" s="17" t="n">
        <v>45848</v>
      </c>
      <c r="M91" s="9" t="n">
        <v>46099</v>
      </c>
      <c r="N91" s="18" t="inlineStr">
        <is>
          <t>CÉLIA JORDÃO</t>
        </is>
      </c>
      <c r="O91" s="10" t="inlineStr">
        <is>
          <t>FAVORÁVEL, COM EMENDA</t>
        </is>
      </c>
      <c r="P91" s="9" t="n">
        <v>45953</v>
      </c>
      <c r="Q91" s="12" t="inlineStr">
        <is>
          <t>Não</t>
        </is>
      </c>
      <c r="R91" s="13" t="inlineStr">
        <is>
          <t>VISTA DE CÉLIA JORDÃO EM 02-SET
DEP. CELIA RETIROU AS EMENDAS</t>
        </is>
      </c>
      <c r="S91" s="4" t="n"/>
      <c r="T91" s="4" t="n"/>
      <c r="U91" s="7" t="n"/>
      <c r="V91" s="3" t="inlineStr">
        <is>
          <t>http://alerjln1.alerj.rj.gov.br/scpro2327.nsf/18c1dd68f96be3e7832566ec0018d833/076bd18d08c41b1b03258b940063c37b?OpenDocument</t>
        </is>
      </c>
      <c r="W91" s="3">
        <f>RIGHT(C91, 4)</f>
        <v/>
      </c>
      <c r="X91" s="3">
        <f>LEFT(C91, LEN(C91) - 5)</f>
        <v/>
      </c>
    </row>
    <row r="92" ht="105" customHeight="1" s="79">
      <c r="A92" s="2" t="inlineStr">
        <is>
          <t>Projeto Lei</t>
        </is>
      </c>
      <c r="B92" s="4">
        <f>RIGHT(C92,4)</f>
        <v/>
      </c>
      <c r="C92" s="73" t="inlineStr">
        <is>
          <t>EP 815/2019</t>
        </is>
      </c>
      <c r="D92" s="2" t="inlineStr">
        <is>
          <t>INSTITUI A OBRIGATORIEDADE DOS VEÍCULOS DE TRANSPORTE ESCOLAR EXIBIREM UM NÚMERO DE TELEFONE PARA RECLAMAÇÕES PINTADO EM SUAS CARROCERIAS, E DÁ OUTRAS PROVIDÊNCIAS.</t>
        </is>
      </c>
      <c r="E92" s="2" t="inlineStr">
        <is>
          <t>DANNIEL LIBRELON</t>
        </is>
      </c>
      <c r="F92" s="18" t="inlineStr">
        <is>
          <t>ALEXANDRE KNOPLOCH</t>
        </is>
      </c>
      <c r="G92" s="10" t="inlineStr">
        <is>
          <t>FAVORÁVEL COM AS EMENDAS DA COMISSÃO DE CONSTITUIÇÃO E JUSTIÇA, CONCLUINDO PELO SUBSTITUTIVO</t>
        </is>
      </c>
      <c r="H92" s="37" t="n"/>
      <c r="I92" s="14" t="inlineStr">
        <is>
          <t>6ªRE
02/09/2025</t>
        </is>
      </c>
      <c r="J92" s="4" t="n"/>
      <c r="K92" s="4" t="n"/>
      <c r="L92" s="9" t="n">
        <v>45848</v>
      </c>
      <c r="M92" s="4" t="n"/>
      <c r="N92" s="18" t="n"/>
      <c r="O92" s="10" t="n"/>
      <c r="P92" s="4" t="n"/>
      <c r="Q92" s="4" t="inlineStr">
        <is>
          <t>Sim</t>
        </is>
      </c>
      <c r="R92" s="13" t="n"/>
      <c r="S92" s="4" t="n"/>
      <c r="T92" s="4" t="n"/>
      <c r="U92" s="7" t="n"/>
      <c r="V92" s="3" t="inlineStr">
        <is>
          <t>http://alerjln1.alerj.rj.gov.br/scpro1923.nsf/18c1dd68f96be3e7832566ec0018d833/43e705d42179521483258425005e50e9?OpenDocument</t>
        </is>
      </c>
      <c r="W92" s="3">
        <f>RIGHT(C92, 4)</f>
        <v/>
      </c>
      <c r="X92" s="3">
        <f>LEFT(C92, LEN(C92) - 5)</f>
        <v/>
      </c>
    </row>
    <row r="93" ht="75" customHeight="1" s="79">
      <c r="A93" s="2" t="inlineStr">
        <is>
          <t>Projeto Lei</t>
        </is>
      </c>
      <c r="B93" s="4">
        <f>RIGHT(C93,4)</f>
        <v/>
      </c>
      <c r="C93" s="73" t="inlineStr">
        <is>
          <t>1500/2016</t>
        </is>
      </c>
      <c r="D93" s="2" t="inlineStr">
        <is>
          <t>DISPÕE SOBRE A UTILIZAÇÃO DE EQUIPAMENTO MOTOGERADORES E DÁ OUTRAS PROVIDÊNCIAS.</t>
        </is>
      </c>
      <c r="E93" s="2" t="inlineStr">
        <is>
          <t>CARLOS MINC</t>
        </is>
      </c>
      <c r="F93" s="18" t="inlineStr">
        <is>
          <t>ALEXANDRE KNOPLOCH</t>
        </is>
      </c>
      <c r="G93" s="10" t="inlineStr">
        <is>
          <t>FAVORÁVEL COM AS EMENDAS DA COMISSÃO DE CONSTITUIÇÃO E JUSTIÇA</t>
        </is>
      </c>
      <c r="H93" s="37" t="inlineStr">
        <is>
          <t>23/09/2025</t>
        </is>
      </c>
      <c r="I93" s="14" t="inlineStr">
        <is>
          <t>6ªRE
02/09/2025</t>
        </is>
      </c>
      <c r="J93" s="4" t="n"/>
      <c r="K93" s="4" t="n"/>
      <c r="L93" s="9" t="n">
        <v>45848</v>
      </c>
      <c r="M93" s="4" t="n"/>
      <c r="N93" s="18" t="n"/>
      <c r="O93" s="10" t="n"/>
      <c r="P93" s="4" t="n"/>
      <c r="Q93" s="4" t="inlineStr">
        <is>
          <t>Não</t>
        </is>
      </c>
      <c r="R93" s="13" t="n"/>
      <c r="S93" s="4" t="n"/>
      <c r="T93" s="4" t="n"/>
      <c r="U93" s="7" t="n"/>
      <c r="V93" s="3" t="inlineStr">
        <is>
          <t>http://alerjln1.alerj.rj.gov.br/scpro1519.nsf/18c1dd68f96be3e7832566ec0018d833/02b4efe7be2e01e983257f6f006aee6b?OpenDocument</t>
        </is>
      </c>
      <c r="W93" s="3">
        <f>RIGHT(C93, 4)</f>
        <v/>
      </c>
      <c r="X93" s="3">
        <f>LEFT(C93, LEN(C93) - 5)</f>
        <v/>
      </c>
    </row>
    <row r="94" ht="75" customHeight="1" s="79">
      <c r="A94" s="2" t="inlineStr">
        <is>
          <t>Projeto Lei</t>
        </is>
      </c>
      <c r="B94" s="4">
        <f>RIGHT(C94,4)</f>
        <v/>
      </c>
      <c r="C94" s="73" t="inlineStr">
        <is>
          <t>EP 3216/2020</t>
        </is>
      </c>
      <c r="D94" s="2" t="inlineStr">
        <is>
          <t>DISPÕE SOBRE A INCLUSÃO DA DOSAGEM DE VITAMINA D NO ROL DOS EXAMES DE ROTINA, BEM COMO A RESPECTIVA DISPENSAÇÃO DO MEDICAMENTO NAS UNIDADES DE SAÚDE PÚBLICA DO ESTADO DO RIO DE JANEIRO</t>
        </is>
      </c>
      <c r="E94" s="2" t="inlineStr">
        <is>
          <t>DR DEODALTO</t>
        </is>
      </c>
      <c r="F94" s="18" t="inlineStr">
        <is>
          <t>ALEXANDRE KNOPLOCH</t>
        </is>
      </c>
      <c r="G94" s="10" t="inlineStr">
        <is>
          <t>FAVORÁVEL ÀS EMENDAS Nºs 1,3 E 4 E CONTRÁRIO À EMENDA Nº 2</t>
        </is>
      </c>
      <c r="H94" s="37" t="inlineStr">
        <is>
          <t>23/09/2025</t>
        </is>
      </c>
      <c r="I94" s="14" t="inlineStr">
        <is>
          <t>6ªRE
02/09/2025</t>
        </is>
      </c>
      <c r="J94" s="4" t="n"/>
      <c r="K94" s="4" t="n"/>
      <c r="L94" s="9" t="n">
        <v>45848</v>
      </c>
      <c r="M94" s="4" t="n"/>
      <c r="N94" s="18" t="n"/>
      <c r="O94" s="10" t="n"/>
      <c r="P94" s="4" t="n"/>
      <c r="Q94" s="4" t="inlineStr">
        <is>
          <t>Não</t>
        </is>
      </c>
      <c r="R94" s="13" t="n"/>
      <c r="S94" s="4" t="n"/>
      <c r="T94" s="4" t="n"/>
      <c r="U94" s="7" t="n"/>
      <c r="V94" s="3" t="inlineStr">
        <is>
          <t>http://alerjln1.alerj.rj.gov.br/scpro1923.nsf/18c1dd68f96be3e7832566ec0018d833/c03e703429b4a87003258600006157c4?OpenDocument</t>
        </is>
      </c>
      <c r="W94" s="3">
        <f>RIGHT(C94, 4)</f>
        <v/>
      </c>
      <c r="X94" s="3">
        <f>LEFT(C94, LEN(C94) - 5)</f>
        <v/>
      </c>
    </row>
    <row r="95" ht="75" customHeight="1" s="79">
      <c r="A95" s="2" t="inlineStr">
        <is>
          <t>Projeto Lei</t>
        </is>
      </c>
      <c r="B95" s="4">
        <f>RIGHT(C95,4)</f>
        <v/>
      </c>
      <c r="C95" s="73" t="inlineStr">
        <is>
          <t>4277/2021</t>
        </is>
      </c>
      <c r="D95" s="2" t="inlineStr">
        <is>
          <t>INSTITUI A CAMPANHA PERMANENTE DE ORIENTAÇÃO, CONSCIENTIZAÇÃO E PREVENÇÃO À ESPOROTRICOSE, NAS UNIDADES DE SAÚDE SITUADAS NO ESTADO.</t>
        </is>
      </c>
      <c r="E95" s="2" t="inlineStr">
        <is>
          <t>DANNIEL LIBRELON</t>
        </is>
      </c>
      <c r="F95" s="18" t="inlineStr">
        <is>
          <t>ALEXANDRE KNOPLOCH</t>
        </is>
      </c>
      <c r="G95" s="10" t="inlineStr">
        <is>
          <t>FAVORÁVEL COM AS EMENDAS DA COMISSÃO DE CONSTITUIÇÃO E JUSTIÇA</t>
        </is>
      </c>
      <c r="H95" s="37" t="inlineStr">
        <is>
          <t>23/09/2025</t>
        </is>
      </c>
      <c r="I95" s="14" t="inlineStr">
        <is>
          <t>6ªRE
02/09/2025</t>
        </is>
      </c>
      <c r="J95" s="9" t="n"/>
      <c r="K95" s="4" t="n"/>
      <c r="L95" s="9" t="n">
        <v>45848</v>
      </c>
      <c r="M95" s="4" t="n"/>
      <c r="N95" s="18" t="n"/>
      <c r="O95" s="10" t="n"/>
      <c r="P95" s="4" t="n"/>
      <c r="Q95" s="4" t="inlineStr">
        <is>
          <t>Não</t>
        </is>
      </c>
      <c r="R95" s="13" t="n"/>
      <c r="S95" s="4" t="n"/>
      <c r="T95" s="4" t="n"/>
      <c r="U95" s="7" t="n"/>
      <c r="V95" s="3" t="inlineStr">
        <is>
          <t>http://alerjln1.alerj.rj.gov.br/scpro1923.nsf/18c1dd68f96be3e7832566ec0018d833/4338132885c9494f032586e7004b511c?OpenDocument</t>
        </is>
      </c>
      <c r="W95" s="3">
        <f>RIGHT(C95, 4)</f>
        <v/>
      </c>
      <c r="X95" s="3">
        <f>LEFT(C95, LEN(C95) - 5)</f>
        <v/>
      </c>
    </row>
    <row r="96" ht="146.25" customHeight="1" s="79">
      <c r="A96" s="2" t="inlineStr">
        <is>
          <t>Projeto Lei Compl.</t>
        </is>
      </c>
      <c r="B96" s="4">
        <f>RIGHT(C96,4)</f>
        <v/>
      </c>
      <c r="C96" s="2" t="inlineStr">
        <is>
          <t>32/2020</t>
        </is>
      </c>
      <c r="D96" s="2" t="inlineStr">
        <is>
          <t>DISPÕE SOBRE A TRANSAÇÃO NAS HIPÓTESES QUE ESPECIFICA.</t>
        </is>
      </c>
      <c r="E96" s="2" t="inlineStr">
        <is>
          <t>ROSENVERG REIS, Celia Jordão</t>
        </is>
      </c>
      <c r="F96" s="18" t="inlineStr">
        <is>
          <t>ANDRÉ CORRÊA</t>
        </is>
      </c>
      <c r="G96" s="10" t="inlineStr">
        <is>
          <t>Favorável, com a adoção das emendas propostas pela Comissão de Constituição e Justiça e pela Comissão de Tributação, Controle da Arrecadação Estadual e Fiscalização dos Tributos Estaduais</t>
        </is>
      </c>
      <c r="H96" s="37" t="inlineStr">
        <is>
          <t>17/09/2025</t>
        </is>
      </c>
      <c r="I96" s="14" t="inlineStr">
        <is>
          <t>6ªRE
02/09/2025</t>
        </is>
      </c>
      <c r="J96" s="9" t="n">
        <v>45873</v>
      </c>
      <c r="K96" s="9" t="n">
        <v>45874</v>
      </c>
      <c r="L96" s="9" t="n"/>
      <c r="M96" s="9" t="n"/>
      <c r="N96" s="18" t="n"/>
      <c r="O96" s="10" t="n"/>
      <c r="P96" s="9" t="n"/>
      <c r="Q96" s="19" t="inlineStr">
        <is>
          <t>Não</t>
        </is>
      </c>
      <c r="R96" s="13" t="n"/>
      <c r="S96" s="4" t="n"/>
      <c r="T96" s="4" t="n"/>
      <c r="U96" s="7" t="n"/>
      <c r="V96" s="3" t="inlineStr">
        <is>
          <t>&lt;a href='http://alerjln1.alerj.rj.gov.br/scpro1923.nsf/34c4e2da9b17c0d3832566ec0018d830/5935f34dadef05a80325863f005976af?OpenDocument'&gt; LINK&lt;/a&gt;</t>
        </is>
      </c>
      <c r="W96" s="3">
        <f>RIGHT(C96, 4)</f>
        <v/>
      </c>
      <c r="X96" s="3">
        <f>LEFT(C96, LEN(C96) - 5)</f>
        <v/>
      </c>
    </row>
    <row r="97" ht="45" customHeight="1" s="79">
      <c r="A97" s="2" t="inlineStr">
        <is>
          <t>Projeto Lei</t>
        </is>
      </c>
      <c r="B97" s="4">
        <f>RIGHT(C97,4)</f>
        <v/>
      </c>
      <c r="C97" s="2" t="inlineStr">
        <is>
          <t>(EP) 1840/2012</t>
        </is>
      </c>
      <c r="D97" s="2" t="inlineStr">
        <is>
          <t>DISPÕE SOBRE O SERVIÇO DE TÁXI INTERMUNICIPAL NO ÂMBITO DO ESTADO DO RIO DE JANEIRO E DÁ OUTRAS PROVIDÊNCIAS.</t>
        </is>
      </c>
      <c r="E97" s="2" t="inlineStr">
        <is>
          <t>PAULO RAMOS</t>
        </is>
      </c>
      <c r="F97" s="18" t="inlineStr">
        <is>
          <t>RENATO MIRANDA</t>
        </is>
      </c>
      <c r="G97" s="10" t="inlineStr">
        <is>
          <t>FAVORÁVEL ÀS EMENDAS DE PLENÁRIO</t>
        </is>
      </c>
      <c r="H97" s="37" t="inlineStr">
        <is>
          <t>19/09/2025</t>
        </is>
      </c>
      <c r="I97" s="14" t="inlineStr">
        <is>
          <t>6ªRE
02/09/2025</t>
        </is>
      </c>
      <c r="J97" s="9" t="n">
        <v>45873</v>
      </c>
      <c r="K97" s="9" t="n">
        <v>45874</v>
      </c>
      <c r="L97" s="9" t="n">
        <v>45890</v>
      </c>
      <c r="M97" s="9" t="n"/>
      <c r="N97" s="18" t="n"/>
      <c r="O97" s="10" t="n"/>
      <c r="P97" s="9" t="n"/>
      <c r="Q97" s="4" t="inlineStr">
        <is>
          <t>Não</t>
        </is>
      </c>
      <c r="R97" s="2" t="n"/>
      <c r="S97" s="4" t="n"/>
      <c r="T97" s="4" t="n"/>
      <c r="U97" s="7" t="n"/>
      <c r="V97" s="3" t="n"/>
      <c r="W97" s="3">
        <f>RIGHT(C97, 4)</f>
        <v/>
      </c>
      <c r="X97" s="3">
        <f>LEFT(C97, LEN(C97) - 5)</f>
        <v/>
      </c>
    </row>
    <row r="98" ht="45" customHeight="1" s="79">
      <c r="A98" s="2" t="inlineStr">
        <is>
          <t>Projeto Lei</t>
        </is>
      </c>
      <c r="B98" s="4">
        <f>RIGHT(C98,4)</f>
        <v/>
      </c>
      <c r="C98" s="2" t="inlineStr">
        <is>
          <t>1620/2016</t>
        </is>
      </c>
      <c r="D98" s="2" t="inlineStr">
        <is>
          <t>ACRESCENTA O INCISO VII-A AO ART. 14, DA LEI Nº 2.657, DE 26 DE DEZEMBRO DE 1996, E DÁ OUTRAS PROVIDÊNCIAS.</t>
        </is>
      </c>
      <c r="E98" s="2" t="inlineStr">
        <is>
          <t>MARTHA ROCHA</t>
        </is>
      </c>
      <c r="F98" s="18" t="inlineStr">
        <is>
          <t>RENATO MIRANDA</t>
        </is>
      </c>
      <c r="G98" s="10" t="inlineStr">
        <is>
          <t>FAVORÁVEL</t>
        </is>
      </c>
      <c r="H98" s="37" t="inlineStr">
        <is>
          <t>20/02/2026</t>
        </is>
      </c>
      <c r="I98" s="14" t="inlineStr">
        <is>
          <t>8ªRE 
16/12/2025</t>
        </is>
      </c>
      <c r="J98" s="9" t="n">
        <v>45873</v>
      </c>
      <c r="K98" s="9" t="n">
        <v>45874</v>
      </c>
      <c r="L98" s="9" t="n">
        <v>45978</v>
      </c>
      <c r="M98" s="9" t="n">
        <v>46076</v>
      </c>
      <c r="N98" s="18" t="n"/>
      <c r="O98" s="10" t="n"/>
      <c r="P98" s="4" t="n"/>
      <c r="Q98" s="4" t="inlineStr">
        <is>
          <t>Não</t>
        </is>
      </c>
      <c r="R98" s="13" t="n"/>
      <c r="S98" s="4" t="n"/>
      <c r="T98" s="4" t="n"/>
      <c r="U98" s="7" t="n"/>
      <c r="V98" s="3" t="n"/>
      <c r="W98" s="3">
        <f>RIGHT(C98, 4)</f>
        <v/>
      </c>
      <c r="X98" s="3">
        <f>LEFT(C98, LEN(C98) - 5)</f>
        <v/>
      </c>
    </row>
    <row r="99" ht="60" customHeight="1" s="79">
      <c r="A99" s="2" t="inlineStr">
        <is>
          <t>Projeto Lei</t>
        </is>
      </c>
      <c r="B99" s="4">
        <f>RIGHT(C99,4)</f>
        <v/>
      </c>
      <c r="C99" s="2" t="inlineStr">
        <is>
          <t>EP 2765/2017</t>
        </is>
      </c>
      <c r="D99" s="2" t="inlineStr">
        <is>
          <t>ALTERA A LEI Nº 3.433, DE 30 DE JUNHO DE 2000, PARA CRIAR DIRETRIZES PARA O PROGRAMA ESTADUAL DE PREVENÇÃO E TRATAMENTO DA OBESIDADE E DOENÇAS CORRELATAS, NA FORMA QUE MENCIONA.</t>
        </is>
      </c>
      <c r="E99" s="2" t="inlineStr">
        <is>
          <t>ÁTILA NUNES</t>
        </is>
      </c>
      <c r="F99" s="18" t="inlineStr">
        <is>
          <t>RENATO MIRANDA</t>
        </is>
      </c>
      <c r="G99" s="10" t="inlineStr">
        <is>
          <t>FAVORÁVEL A EMENDA 01 E CONTRÁRIO À EMENDA 02</t>
        </is>
      </c>
      <c r="H99" s="37" t="inlineStr">
        <is>
          <t>19/09/2025</t>
        </is>
      </c>
      <c r="I99" s="14" t="inlineStr">
        <is>
          <t>6ªRE
02/09/2025</t>
        </is>
      </c>
      <c r="J99" s="9" t="n">
        <v>45873</v>
      </c>
      <c r="K99" s="9" t="n">
        <v>45874</v>
      </c>
      <c r="L99" s="9" t="n">
        <v>45890</v>
      </c>
      <c r="M99" s="4" t="n"/>
      <c r="N99" s="18" t="n"/>
      <c r="O99" s="10" t="n"/>
      <c r="P99" s="4" t="n"/>
      <c r="Q99" s="4" t="inlineStr">
        <is>
          <t>Não</t>
        </is>
      </c>
      <c r="R99" s="13" t="n"/>
      <c r="S99" s="4" t="n"/>
      <c r="T99" s="4" t="n"/>
      <c r="U99" s="7" t="n"/>
      <c r="V99" s="3" t="n"/>
      <c r="W99" s="3">
        <f>RIGHT(C99, 4)</f>
        <v/>
      </c>
      <c r="X99" s="3">
        <f>LEFT(C99, LEN(C99) - 5)</f>
        <v/>
      </c>
    </row>
    <row r="100" ht="90" customHeight="1" s="79">
      <c r="A100" s="2" t="inlineStr">
        <is>
          <t>Projeto Lei</t>
        </is>
      </c>
      <c r="B100" s="4">
        <f>RIGHT(C100,4)</f>
        <v/>
      </c>
      <c r="C100" s="2" t="inlineStr">
        <is>
          <t>3763/2021</t>
        </is>
      </c>
      <c r="D100" s="2" t="inlineStr">
        <is>
          <t>DISPÕE SOBRE A OBRIGATORIEDADE DO DIAGNÓSTICO E ATENDIMENTO CLÍNICO E CIRÚRGICO, EXAMES E IMPLANTODONTIA AOS PACIENTES SEMI DENTADOS OU QUE APRESENTEM A AUSÊNCIA TOTAL DE DENTES ATRAVÉS DE CONVÊNIOS COM UNIVERSIDADES,  NO ÂMBITO DO ESTADO DO RIO DE JANEIRO.</t>
        </is>
      </c>
      <c r="E100" s="2" t="inlineStr">
        <is>
          <t>ROSENVERG REIS</t>
        </is>
      </c>
      <c r="F100" s="18" t="inlineStr">
        <is>
          <t>RENATO MIRANDA</t>
        </is>
      </c>
      <c r="G100" s="10" t="inlineStr">
        <is>
          <t>FAVORÁVEL COM AS EMENDAS DA COMISSÃO DE CONSTITUIÇÃO E JUSTIÇA</t>
        </is>
      </c>
      <c r="H100" s="37" t="inlineStr">
        <is>
          <t>20/02/2026</t>
        </is>
      </c>
      <c r="I100" s="14" t="inlineStr">
        <is>
          <t>8ªRE 
16/12/2025</t>
        </is>
      </c>
      <c r="J100" s="9" t="n">
        <v>45873</v>
      </c>
      <c r="K100" s="9" t="n">
        <v>45874</v>
      </c>
      <c r="L100" s="9" t="n">
        <v>45978</v>
      </c>
      <c r="M100" s="9" t="n">
        <v>46076</v>
      </c>
      <c r="N100" s="18" t="n"/>
      <c r="O100" s="10" t="n"/>
      <c r="P100" s="4" t="n"/>
      <c r="Q100" s="4" t="inlineStr">
        <is>
          <t>Não</t>
        </is>
      </c>
      <c r="R100" s="13" t="n"/>
      <c r="S100" s="4" t="n"/>
      <c r="T100" s="4" t="n"/>
      <c r="U100" s="7" t="n"/>
      <c r="V100" s="3" t="n"/>
      <c r="W100" s="3">
        <f>RIGHT(C100, 4)</f>
        <v/>
      </c>
      <c r="X100" s="3">
        <f>LEFT(C100, LEN(C100) - 5)</f>
        <v/>
      </c>
    </row>
    <row r="101" ht="60" customHeight="1" s="79">
      <c r="A101" s="2" t="inlineStr">
        <is>
          <t>Projeto Lei</t>
        </is>
      </c>
      <c r="B101" s="4">
        <f>RIGHT(C101,4)</f>
        <v/>
      </c>
      <c r="C101" s="2" t="inlineStr">
        <is>
          <t>4392/2021</t>
        </is>
      </c>
      <c r="D101" s="2" t="inlineStr">
        <is>
          <t>ALTERA A LEI Nº 2.877, DE 22 DE DEZEMBRO DE 1997, QUE DISPÕE SOBRE O IMPOSTO SOBRE A PROPRIEDADE DE VEÍCULOS AUTOMOTORES (IPVA), NA FORMA QUE MENCIONA.</t>
        </is>
      </c>
      <c r="E101" s="2" t="inlineStr">
        <is>
          <t>ANDERSON MORAES</t>
        </is>
      </c>
      <c r="F101" s="18" t="n"/>
      <c r="G101" s="10" t="n"/>
      <c r="H101" s="37" t="n"/>
      <c r="I101" s="14" t="n"/>
      <c r="J101" s="9" t="n">
        <v>45873</v>
      </c>
      <c r="K101" s="9" t="n">
        <v>45896</v>
      </c>
      <c r="L101" s="9" t="n"/>
      <c r="M101" s="4" t="n"/>
      <c r="N101" s="18" t="n"/>
      <c r="O101" s="10" t="n"/>
      <c r="P101" s="4" t="n"/>
      <c r="Q101" s="4" t="inlineStr">
        <is>
          <t>Sim</t>
        </is>
      </c>
      <c r="R101" s="13" t="inlineStr">
        <is>
          <t>Anexar o PL 6416/2022 a este
Estava com LUIZ PAULO mas peguei porque o mesmo saiu da Comissão (18/05/2026)</t>
        </is>
      </c>
      <c r="S101" s="4" t="n"/>
      <c r="T101" s="4" t="n"/>
      <c r="U101" s="7" t="n"/>
      <c r="V101" s="3" t="inlineStr">
        <is>
          <t>http://alerjln1.alerj.rj.gov.br/scpro1923.nsf/18c1dd68f96be3e7832566ec0018d833/657d52b5dd5319fb032586f800617df9?OpenDocument</t>
        </is>
      </c>
      <c r="W101" s="3">
        <f>RIGHT(C101, 4)</f>
        <v/>
      </c>
      <c r="X101" s="3">
        <f>LEFT(C101, LEN(C101) - 5)</f>
        <v/>
      </c>
    </row>
    <row r="102" ht="60" customHeight="1" s="79">
      <c r="A102" s="2" t="inlineStr">
        <is>
          <t>Projeto Lei</t>
        </is>
      </c>
      <c r="B102" s="4">
        <f>RIGHT(C102,4)</f>
        <v/>
      </c>
      <c r="C102" s="73" t="inlineStr">
        <is>
          <t>549/2023</t>
        </is>
      </c>
      <c r="D102" s="2" t="inlineStr">
        <is>
          <t>CRIA O PROGRAMA “GESTÃO COMUNITÁRIA DAS ESCOLAS” NA REDE ESTADUAL DE ENSINO DO RIO DE JANEIRO.</t>
        </is>
      </c>
      <c r="E102" s="2" t="inlineStr">
        <is>
          <t>RODRIGO AMORIM</t>
        </is>
      </c>
      <c r="F102" s="18" t="inlineStr">
        <is>
          <t>ANDRÉ CORRÊA</t>
        </is>
      </c>
      <c r="G102" s="10" t="inlineStr">
        <is>
          <t>FAVORÁVEL, COM EMENDA</t>
        </is>
      </c>
      <c r="H102" s="37" t="inlineStr">
        <is>
          <t>11/02/2026</t>
        </is>
      </c>
      <c r="I102" s="14" t="inlineStr">
        <is>
          <t>8ªRE 
16/12/2025</t>
        </is>
      </c>
      <c r="J102" s="9" t="n">
        <v>45873</v>
      </c>
      <c r="K102" s="9" t="n">
        <v>45874</v>
      </c>
      <c r="L102" s="17" t="n">
        <v>45890</v>
      </c>
      <c r="M102" s="9" t="n">
        <v>46086</v>
      </c>
      <c r="N102" s="18" t="inlineStr">
        <is>
          <t>CÉLIA JORDÃO</t>
        </is>
      </c>
      <c r="O102" s="10" t="inlineStr">
        <is>
          <t>FAVORÁVEL, COM EMENDA</t>
        </is>
      </c>
      <c r="P102" s="9" t="n">
        <v>45953</v>
      </c>
      <c r="Q102" s="12" t="inlineStr">
        <is>
          <t>Não</t>
        </is>
      </c>
      <c r="R102" s="13" t="inlineStr">
        <is>
          <t>VISTA DE CÉLIA JORDÃO EM 02-SET
DEP. ANDRÉ AVOCOU A RELATORIA DO DEP. RENATO MIRANDA E ACOLHEU A EMENDA</t>
        </is>
      </c>
      <c r="S102" s="4" t="n"/>
      <c r="T102" s="4" t="n"/>
      <c r="U102" s="7" t="n"/>
      <c r="V102" s="3" t="inlineStr">
        <is>
          <t>&lt;a href='http://alerjln1.alerj.rj.gov.br/scpro2327.nsf/18c1dd68f96be3e7832566ec0018d833/e0579e4272f7582703258980004d1142?OpenDocument'&gt; LINK&lt;/a&gt;</t>
        </is>
      </c>
      <c r="W102" s="3">
        <f>RIGHT(C102, 4)</f>
        <v/>
      </c>
      <c r="X102" s="3">
        <f>LEFT(C102, LEN(C102) - 5)</f>
        <v/>
      </c>
    </row>
    <row r="103" ht="75" customHeight="1" s="79">
      <c r="A103" s="2" t="inlineStr">
        <is>
          <t>Projeto Lei</t>
        </is>
      </c>
      <c r="B103" s="4">
        <f>RIGHT(C103,4)</f>
        <v/>
      </c>
      <c r="C103" s="2" t="inlineStr">
        <is>
          <t>932/2023</t>
        </is>
      </c>
      <c r="D103" s="2" t="inlineStr">
        <is>
          <t>DISPÕE SOBRE A GRATUIDADE DE TAXA PARA OBTENÇÃO DO DOCUMENTO DE IDENTIFICAÇÃO PESSOAL, BEM COMO QUANTO A TAXA DE RENOVAÇÃO DA CARTEIRA DE HABILITAÇÃO, NA FORMA EM QUE MENCIONA.</t>
        </is>
      </c>
      <c r="E103" s="2" t="inlineStr">
        <is>
          <t>ROSENVERG REIS</t>
        </is>
      </c>
      <c r="F103" s="18" t="inlineStr">
        <is>
          <t>RENATO MIRANDA</t>
        </is>
      </c>
      <c r="G103" s="10" t="inlineStr">
        <is>
          <t>CONTRÁRIO</t>
        </is>
      </c>
      <c r="H103" s="37" t="inlineStr">
        <is>
          <t>20/02/2026</t>
        </is>
      </c>
      <c r="I103" s="14" t="inlineStr">
        <is>
          <t>8ªRE 
16/12/2025</t>
        </is>
      </c>
      <c r="J103" s="9" t="n">
        <v>45873</v>
      </c>
      <c r="K103" s="9" t="n">
        <v>45896</v>
      </c>
      <c r="L103" s="9" t="n">
        <v>45978</v>
      </c>
      <c r="M103" s="9" t="n">
        <v>46076</v>
      </c>
      <c r="N103" s="18" t="n"/>
      <c r="O103" s="10" t="n"/>
      <c r="P103" s="4" t="n"/>
      <c r="Q103" s="4" t="inlineStr">
        <is>
          <t>Não</t>
        </is>
      </c>
      <c r="R103" s="13" t="n"/>
      <c r="S103" s="4" t="n"/>
      <c r="T103" s="4" t="n"/>
      <c r="U103" s="7" t="n"/>
      <c r="V103" s="3" t="inlineStr">
        <is>
          <t>&lt;a href='http://alerjln1.alerj.rj.gov.br/scpro2327.nsf/18c1dd68f96be3e7832566ec0018d833/14af067763c10685032589a40063cd23?OpenDocument'&gt; LINK&lt;/a&gt;</t>
        </is>
      </c>
      <c r="W103" s="3">
        <f>RIGHT(C103, 4)</f>
        <v/>
      </c>
      <c r="X103" s="3">
        <f>LEFT(C103, LEN(C103) - 5)</f>
        <v/>
      </c>
    </row>
    <row r="104" ht="90" customHeight="1" s="79">
      <c r="A104" s="2" t="inlineStr">
        <is>
          <t>Projeto Lei</t>
        </is>
      </c>
      <c r="B104" s="4">
        <f>RIGHT(C104,4)</f>
        <v/>
      </c>
      <c r="C104" s="2" t="inlineStr">
        <is>
          <t>1033/2023</t>
        </is>
      </c>
      <c r="D104" s="2" t="inlineStr">
        <is>
          <t>INSTITUI NO ÂMBITO DO ESTADO DO RIO DE JANEIRO, A ISENÇÃO DO PAGAMENTO DE TAXAS ESTADUAIS, RELATIVAS À RENOVAÇÃO DA CARTEIRA NACIONAL DE HABILITAÇÃO, AOS PROFISSIONAIS AUTÔNOMOS ENTREGADORES DE DELIVERY, NO ÂMBITO DO ESTADO DO RIO DE JANEIRO.</t>
        </is>
      </c>
      <c r="E104" s="2" t="inlineStr">
        <is>
          <t>ROSENVERG REIS</t>
        </is>
      </c>
      <c r="F104" s="18" t="inlineStr">
        <is>
          <t>RENATO MIRANDA</t>
        </is>
      </c>
      <c r="G104" s="10" t="inlineStr">
        <is>
          <t>CONTRÁRIO</t>
        </is>
      </c>
      <c r="H104" s="37" t="inlineStr">
        <is>
          <t>20/02/2026</t>
        </is>
      </c>
      <c r="I104" s="14" t="inlineStr">
        <is>
          <t>8ªRE 
16/12/2025</t>
        </is>
      </c>
      <c r="J104" s="9" t="n">
        <v>45873</v>
      </c>
      <c r="K104" s="9" t="n">
        <v>45874</v>
      </c>
      <c r="L104" s="9" t="n">
        <v>45978</v>
      </c>
      <c r="M104" s="9" t="n">
        <v>46076</v>
      </c>
      <c r="N104" s="18" t="n"/>
      <c r="O104" s="10" t="n"/>
      <c r="P104" s="4" t="n"/>
      <c r="Q104" s="4" t="inlineStr">
        <is>
          <t>Não</t>
        </is>
      </c>
      <c r="R104" s="13" t="n"/>
      <c r="S104" s="4" t="n"/>
      <c r="T104" s="4" t="n"/>
      <c r="U104" s="7" t="n"/>
      <c r="V104" s="3" t="n"/>
      <c r="W104" s="3">
        <f>RIGHT(C104, 4)</f>
        <v/>
      </c>
      <c r="X104" s="3">
        <f>LEFT(C104, LEN(C104) - 5)</f>
        <v/>
      </c>
    </row>
    <row r="105" ht="105" customHeight="1" s="79">
      <c r="A105" s="2" t="inlineStr">
        <is>
          <t>Projeto Lei</t>
        </is>
      </c>
      <c r="B105" s="4">
        <f>RIGHT(C105,4)</f>
        <v/>
      </c>
      <c r="C105" s="2" t="inlineStr">
        <is>
          <t>1299/2023</t>
        </is>
      </c>
      <c r="D105" s="2" t="inlineStr">
        <is>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is>
      </c>
      <c r="E105" s="2" t="inlineStr">
        <is>
          <t>RENATO MIRANDA</t>
        </is>
      </c>
      <c r="F105" s="18" t="inlineStr">
        <is>
          <t>ZEIDAN</t>
        </is>
      </c>
      <c r="G105" s="10" t="n"/>
      <c r="H105" s="37" t="n"/>
      <c r="I105" s="14" t="n"/>
      <c r="J105" s="9" t="n">
        <v>45873</v>
      </c>
      <c r="K105" s="9" t="n">
        <v>45896</v>
      </c>
      <c r="L105" s="9" t="n"/>
      <c r="M105" s="4" t="n"/>
      <c r="N105" s="18" t="n"/>
      <c r="O105" s="10" t="n"/>
      <c r="P105" s="4" t="n"/>
      <c r="Q105" s="4" t="inlineStr">
        <is>
          <t>Com Relator</t>
        </is>
      </c>
      <c r="R105" s="13" t="n"/>
      <c r="S105" s="4" t="n"/>
      <c r="T105" s="4" t="n"/>
      <c r="U105" s="7" t="n"/>
      <c r="V105" s="3" t="n"/>
      <c r="W105" s="3">
        <f>RIGHT(C105, 4)</f>
        <v/>
      </c>
      <c r="X105" s="3">
        <f>LEFT(C105, LEN(C105) - 5)</f>
        <v/>
      </c>
    </row>
    <row r="106" ht="60" customHeight="1" s="79">
      <c r="A106" s="2" t="inlineStr">
        <is>
          <t>Projeto Lei</t>
        </is>
      </c>
      <c r="B106" s="4">
        <f>RIGHT(C106,4)</f>
        <v/>
      </c>
      <c r="C106" s="2" t="inlineStr">
        <is>
          <t>3520/2024</t>
        </is>
      </c>
      <c r="D106" s="2" t="inlineStr">
        <is>
          <t>ESTABELECE DIRETRIZES SOBRE O DIREITO À ALIMENTAÇÃO ADEQUADA DOS USUÁRIOS DA REDE PÚBLICA DE SAÚDE QUE NECESSITAM DE NUTRIÇÃO ENTERAL (NE).</t>
        </is>
      </c>
      <c r="E106" s="2" t="inlineStr">
        <is>
          <t>MUNIR NETO</t>
        </is>
      </c>
      <c r="F106" s="18" t="inlineStr">
        <is>
          <t>RENATO MIRANDA</t>
        </is>
      </c>
      <c r="G106" s="10" t="inlineStr">
        <is>
          <t>FAVORÁVEL COM AS EMENDAS DA CCJ</t>
        </is>
      </c>
      <c r="H106" s="37" t="inlineStr">
        <is>
          <t>19/09/2025</t>
        </is>
      </c>
      <c r="I106" s="14" t="inlineStr">
        <is>
          <t>6ªRE
02/09/2025</t>
        </is>
      </c>
      <c r="J106" s="9" t="n">
        <v>45873</v>
      </c>
      <c r="K106" s="9" t="n">
        <v>45874</v>
      </c>
      <c r="L106" s="9" t="n">
        <v>45890</v>
      </c>
      <c r="M106" s="4" t="n"/>
      <c r="N106" s="18" t="n"/>
      <c r="O106" s="10" t="n"/>
      <c r="P106" s="4" t="n"/>
      <c r="Q106" s="4" t="inlineStr">
        <is>
          <t>Não</t>
        </is>
      </c>
      <c r="R106" s="13" t="n"/>
      <c r="S106" s="4" t="n"/>
      <c r="T106" s="4" t="n"/>
      <c r="U106" s="7" t="n"/>
      <c r="V106" s="3" t="n"/>
      <c r="W106" s="3">
        <f>RIGHT(C106, 4)</f>
        <v/>
      </c>
      <c r="X106" s="3">
        <f>LEFT(C106, LEN(C106) - 5)</f>
        <v/>
      </c>
    </row>
    <row r="107" ht="60" customHeight="1" s="79">
      <c r="A107" s="2" t="inlineStr">
        <is>
          <t>Projeto Lei</t>
        </is>
      </c>
      <c r="B107" s="4">
        <f>RIGHT(C107,4)</f>
        <v/>
      </c>
      <c r="C107" s="73" t="inlineStr">
        <is>
          <t>190/2023</t>
        </is>
      </c>
      <c r="D107" s="2" t="inlineStr">
        <is>
          <t>ALTERA-SE A LEI Nº 4.962 DE 20 DE DEZEMBRO DE 2006 E DÁ OUTRAS PROVIDÊNCIAS</t>
        </is>
      </c>
      <c r="E107" s="2" t="inlineStr">
        <is>
          <t>MARINA DO MST</t>
        </is>
      </c>
      <c r="F107" s="18" t="n"/>
      <c r="G107" s="10" t="n"/>
      <c r="H107" s="37" t="n"/>
      <c r="I107" s="14" t="n"/>
      <c r="J107" s="9" t="n">
        <v>46154</v>
      </c>
      <c r="K107" s="9" t="n"/>
      <c r="L107" s="9" t="n"/>
      <c r="M107" s="9" t="n">
        <v>45873</v>
      </c>
      <c r="N107" s="18" t="n"/>
      <c r="O107" s="10" t="n"/>
      <c r="P107" s="9" t="n"/>
      <c r="Q107" s="4" t="inlineStr">
        <is>
          <t>Não</t>
        </is>
      </c>
      <c r="R107" s="13" t="inlineStr">
        <is>
          <t>Pelo art 26, alínea (i), item 2, do RI, o projeto teve parecer, da CCJ, pela TIL. Logo deve ser encaminhado direto à SGMD.</t>
        </is>
      </c>
      <c r="S107" s="4" t="n"/>
      <c r="T107" s="4" t="n"/>
      <c r="U107" s="7" t="n"/>
      <c r="V107" s="3" t="inlineStr">
        <is>
          <t>http://alerjln1.alerj.rj.gov.br/scpro2327.nsf/18c1dd68f96be3e7832566ec0018d833/ac723f11cd2490ba0325895100543330?OpenDocument</t>
        </is>
      </c>
      <c r="W107" s="3">
        <f>RIGHT(C107, 4)</f>
        <v/>
      </c>
      <c r="X107" s="3">
        <f>LEFT(C107, LEN(C107) - 5)</f>
        <v/>
      </c>
    </row>
    <row r="108" ht="90" customHeight="1" s="79">
      <c r="A108" s="2" t="inlineStr">
        <is>
          <t>Projeto Lei</t>
        </is>
      </c>
      <c r="B108" s="4">
        <f>RIGHT(C108,4)</f>
        <v/>
      </c>
      <c r="C108" s="2" t="inlineStr">
        <is>
          <t>EP 3526/2017</t>
        </is>
      </c>
      <c r="D108" s="2" t="inlineStr">
        <is>
          <t>DISPÕE SOBRE O TOMBAMENTO POR INTERESSE HISTÓRICO E CULTURAL DO ESTADO DO RIO DE JANEIRO DOS QUILOMBOS CAMBUCÁ, ALELUIA E BATATAL, LOCALIZADO NO NOVO HORIZONTE, S/Nº, CAMPOS DOS GOYTACAZES, RJ – CEP: 28.125-000, E DÁ OUTRAS PROVIDÊNCIAS.</t>
        </is>
      </c>
      <c r="E108" s="2" t="inlineStr">
        <is>
          <t>ZEIDAN</t>
        </is>
      </c>
      <c r="F108" s="18" t="inlineStr">
        <is>
          <t>VINICIUS COZZOLINO</t>
        </is>
      </c>
      <c r="G108" s="10" t="inlineStr">
        <is>
          <t>CONTRÁRIO ÁS EMENDAS DE PLENÁRIO</t>
        </is>
      </c>
      <c r="H108" s="37" t="inlineStr">
        <is>
          <t>18/09/2025</t>
        </is>
      </c>
      <c r="I108" s="14" t="inlineStr">
        <is>
          <t>6ªRE
02/09/2025</t>
        </is>
      </c>
      <c r="J108" s="4" t="n"/>
      <c r="K108" s="9" t="n"/>
      <c r="L108" s="9" t="n">
        <v>45874</v>
      </c>
      <c r="M108" s="9" t="n"/>
      <c r="N108" s="18" t="n"/>
      <c r="O108" s="10" t="n"/>
      <c r="P108" s="9" t="n"/>
      <c r="Q108" s="19" t="inlineStr">
        <is>
          <t>Não</t>
        </is>
      </c>
      <c r="R108" s="13" t="inlineStr">
        <is>
          <t>Enviado o parecer por email em 04-08-2025</t>
        </is>
      </c>
      <c r="S108" s="4" t="n"/>
      <c r="T108" s="4" t="n"/>
      <c r="U108" s="7" t="n"/>
      <c r="V108" s="3" t="n"/>
      <c r="W108" s="3">
        <f>RIGHT(C108, 4)</f>
        <v/>
      </c>
      <c r="X108" s="3">
        <f>LEFT(C108, LEN(C108) - 5)</f>
        <v/>
      </c>
    </row>
    <row r="109" ht="105" customHeight="1" s="79">
      <c r="A109" s="2" t="inlineStr">
        <is>
          <t>Projeto Lei</t>
        </is>
      </c>
      <c r="B109" s="4">
        <f>RIGHT(C109,4)</f>
        <v/>
      </c>
      <c r="C109" s="2" t="inlineStr">
        <is>
          <t>2272/2023</t>
        </is>
      </c>
      <c r="D109" s="2" t="inlineStr">
        <is>
          <t>ALTERA A LEI Nº 7354 DE 14 DE JULHO 2016, QUE “INSTITUI, NO ÂMBITO DO ESTADO DO RIO DE JANEIRO, O PROGRAMA DE DIAGNÓSTICO E TRATAMENTO DO TRANSTORNO DO DÉFICIT DE ATENÇÃO E HIPERATIVIDADE – TDAH E DO TRANSTORNO DESAFIADOR OPOSITIVO – TDO, E DÁ OUTRAS PROVIDÊNCIAS” .</t>
        </is>
      </c>
      <c r="E109" s="2" t="inlineStr">
        <is>
          <t>GISELLE MONTEIRO</t>
        </is>
      </c>
      <c r="F109" s="18" t="inlineStr">
        <is>
          <t>VINICIUS COZZOLINO</t>
        </is>
      </c>
      <c r="G109" s="10" t="inlineStr">
        <is>
          <t>FAVORÁVEL COM AS EMENDAS DA COMISSÃO DE CONSTITUIÇÃO E JUSTIÇA</t>
        </is>
      </c>
      <c r="H109" s="37" t="n"/>
      <c r="I109" s="14" t="inlineStr">
        <is>
          <t>N/A</t>
        </is>
      </c>
      <c r="J109" s="9" t="n"/>
      <c r="K109" s="9" t="n"/>
      <c r="L109" s="9" t="n">
        <v>45874</v>
      </c>
      <c r="M109" s="9" t="n">
        <v>45901</v>
      </c>
      <c r="N109" s="18" t="n"/>
      <c r="O109" s="10" t="n"/>
      <c r="P109" s="9" t="n"/>
      <c r="Q109" s="4" t="inlineStr">
        <is>
          <t>Não</t>
        </is>
      </c>
      <c r="R109" s="13" t="inlineStr">
        <is>
          <t>Enviado o parecer por email em 04-08-2025
Retirado da pauta da 6ªRE (02-set-2025) porque vai a plenário em 03-09</t>
        </is>
      </c>
      <c r="S109" s="4" t="n"/>
      <c r="T109" s="4" t="n"/>
      <c r="U109" s="7" t="n"/>
      <c r="V109" s="3" t="n"/>
      <c r="W109" s="3">
        <f>RIGHT(C109, 4)</f>
        <v/>
      </c>
      <c r="X109" s="3">
        <f>LEFT(C109, LEN(C109) - 5)</f>
        <v/>
      </c>
    </row>
    <row r="110" ht="75" customHeight="1" s="79">
      <c r="A110" s="2" t="inlineStr">
        <is>
          <t>Projeto Lei</t>
        </is>
      </c>
      <c r="B110" s="4">
        <f>RIGHT(C110,4)</f>
        <v/>
      </c>
      <c r="C110" s="73" t="inlineStr">
        <is>
          <t>1750/2023</t>
        </is>
      </c>
      <c r="D110" s="2" t="inlineStr">
        <is>
          <t>DISPÕE SOBRE A CRIAÇÃO DO PROGRAMA “COZINHA EXPERIMENTAL MINI CHEFS” NAS ESCOLAS ESTADUAIS NO ÂMBITO DO ESTADO DO RIO DE JANEIRO</t>
        </is>
      </c>
      <c r="E110" s="2" t="inlineStr">
        <is>
          <t>MUNIR NETO</t>
        </is>
      </c>
      <c r="F110" s="18" t="inlineStr">
        <is>
          <t>VINICIUS COZZOLINO</t>
        </is>
      </c>
      <c r="G110" s="10" t="inlineStr">
        <is>
          <t>FAVORÁVEL COM EMENDAS DA  COMISSÃO DE CONSTITUIÇÃO E JUSTIÇA</t>
        </is>
      </c>
      <c r="H110" s="37" t="inlineStr">
        <is>
          <t>11/02/2026</t>
        </is>
      </c>
      <c r="I110" s="14" t="inlineStr">
        <is>
          <t>8ªRE 
16/12/2025</t>
        </is>
      </c>
      <c r="J110" s="9" t="n">
        <v>45902</v>
      </c>
      <c r="K110" s="4" t="n"/>
      <c r="L110" s="9" t="n">
        <v>45874</v>
      </c>
      <c r="M110" s="9" t="n">
        <v>46065</v>
      </c>
      <c r="N110" s="18" t="inlineStr">
        <is>
          <t>CÉLIA JORDÃO</t>
        </is>
      </c>
      <c r="O110" s="10" t="n"/>
      <c r="P110" s="9" t="n">
        <v>45953</v>
      </c>
      <c r="Q110" s="12" t="inlineStr">
        <is>
          <t>Não</t>
        </is>
      </c>
      <c r="R110" s="13" t="inlineStr">
        <is>
          <t>Enviado o parecer por email em 04-08-2025
VISTA DE CÉLIA JORDÃO EM 02-SET</t>
        </is>
      </c>
      <c r="S110" s="4" t="n"/>
      <c r="T110" s="4" t="n"/>
      <c r="U110" s="7" t="n"/>
      <c r="V110" s="3" t="inlineStr">
        <is>
          <t>&lt;a href='http://alerjln1.alerj.rj.gov.br/scpro2327.nsf/18c1dd68f96be3e7832566ec0018d833/fe5ec33176e07572032589e3004eea24?OpenDocument'&gt; LINK&lt;/a&gt;</t>
        </is>
      </c>
      <c r="W110" s="3">
        <f>RIGHT(C110, 4)</f>
        <v/>
      </c>
      <c r="X110" s="3">
        <f>LEFT(C110, LEN(C110) - 5)</f>
        <v/>
      </c>
    </row>
    <row r="111" ht="90" customHeight="1" s="79">
      <c r="A111" s="2" t="inlineStr">
        <is>
          <t>Projeto Lei</t>
        </is>
      </c>
      <c r="B111" s="4">
        <f>RIGHT(C111,4)</f>
        <v/>
      </c>
      <c r="C111" s="2" t="inlineStr">
        <is>
          <t>637/2019</t>
        </is>
      </c>
      <c r="D111" s="2" t="inlineStr">
        <is>
          <t>OBRIGA CRECHES E INSTITUIÇÕES DE ENSINO BÁSICO A INFORMAR AOS RESPONSÁVEIS E  NOTIFICAR O ÓRGÃO PÚBLICO COMPETENTE, A OCORRÊNCIA DE CASO DE DOENÇA CONTAGIOSA OU INFECTOCONTAGIOSA NO LOCAL.</t>
        </is>
      </c>
      <c r="E111" s="2" t="inlineStr">
        <is>
          <t>BRUNO DAUAIRE</t>
        </is>
      </c>
      <c r="F111" s="18" t="inlineStr">
        <is>
          <t>VINICIUS COZZOLINO</t>
        </is>
      </c>
      <c r="G111" s="10" t="inlineStr">
        <is>
          <t>FAVORÁVEL COM AS EMENDAS  DA COMISSÃO DE ECONOMIA, INDUSTRIA E COMERCIO</t>
        </is>
      </c>
      <c r="H111" s="37" t="inlineStr">
        <is>
          <t>18/09/2025</t>
        </is>
      </c>
      <c r="I111" s="14" t="inlineStr">
        <is>
          <t>6ªRE
02/09/2025</t>
        </is>
      </c>
      <c r="J111" s="9" t="n">
        <v>45902</v>
      </c>
      <c r="K111" s="4" t="n"/>
      <c r="L111" s="9" t="n">
        <v>45874</v>
      </c>
      <c r="M111" s="4" t="n"/>
      <c r="N111" s="18" t="n"/>
      <c r="O111" s="10" t="n"/>
      <c r="P111" s="4" t="n"/>
      <c r="Q111" s="19" t="inlineStr">
        <is>
          <t>Não</t>
        </is>
      </c>
      <c r="R111" s="13" t="inlineStr">
        <is>
          <t>Enviado o parecer por email em 04-08-2025</t>
        </is>
      </c>
      <c r="S111" s="4" t="n"/>
      <c r="T111" s="4" t="n"/>
      <c r="U111" s="7" t="n"/>
      <c r="V111" s="3" t="inlineStr">
        <is>
          <t>&lt;a href='http://alerjln1.alerj.rj.gov.br/scpro1923.nsf/18c1dd68f96be3e7832566ec0018d833/a46c5f87267f744b83258408005f1047?OpenDocument'&gt; LINK&lt;/a&gt;</t>
        </is>
      </c>
      <c r="W111" s="3">
        <f>RIGHT(C111, 4)</f>
        <v/>
      </c>
      <c r="X111" s="3">
        <f>LEFT(C111, LEN(C111) - 5)</f>
        <v/>
      </c>
    </row>
    <row r="112" ht="120" customHeight="1" s="79">
      <c r="A112" s="2" t="inlineStr">
        <is>
          <t>Projeto Lei</t>
        </is>
      </c>
      <c r="B112" s="4">
        <f>RIGHT(C112,4)</f>
        <v/>
      </c>
      <c r="C112" s="2" t="inlineStr">
        <is>
          <t>EP 63/2023</t>
        </is>
      </c>
      <c r="D112" s="2" t="inlineStr">
        <is>
          <t>CRIA A LEI DE INCENTIVO AO DESENVOLVIMENTO DO MOVIMENTO CULTURAL HIP HOP CARIOCA E DÁ OUTRAS PROVIDÊNCIAS.</t>
        </is>
      </c>
      <c r="E112" s="2" t="inlineStr">
        <is>
          <t>VERONICA LIMA</t>
        </is>
      </c>
      <c r="F112" s="18" t="inlineStr">
        <is>
          <t>VINICIUS COZZOLINO</t>
        </is>
      </c>
      <c r="G112" s="10" t="inlineStr">
        <is>
          <t>FAVORÁVEL ÀS EMENDAS NºS 01, 03 E 04, PREJUDICADA À EMENDA Nº 02 PELA EMENDA Nº 7 DA COMISSÃO DE CONSTITUIÇÃO E JUSTIÇA</t>
        </is>
      </c>
      <c r="H112" s="37" t="inlineStr">
        <is>
          <t>17/09/2025</t>
        </is>
      </c>
      <c r="I112" s="14" t="inlineStr">
        <is>
          <t>6ªRE
02/09/2025</t>
        </is>
      </c>
      <c r="J112" s="4" t="n"/>
      <c r="K112" s="4" t="n"/>
      <c r="L112" s="9" t="n">
        <v>45874</v>
      </c>
      <c r="M112" s="4" t="n"/>
      <c r="N112" s="18" t="n"/>
      <c r="O112" s="10" t="n"/>
      <c r="P112" s="4" t="n"/>
      <c r="Q112" s="19" t="inlineStr">
        <is>
          <t>Não</t>
        </is>
      </c>
      <c r="R112" s="13" t="inlineStr">
        <is>
          <t>Enviado o parecer por email em 04-08-2025</t>
        </is>
      </c>
      <c r="S112" s="4" t="n"/>
      <c r="T112" s="4" t="n"/>
      <c r="U112" s="7" t="n"/>
      <c r="V112" s="3" t="n"/>
      <c r="W112" s="3">
        <f>RIGHT(C112, 4)</f>
        <v/>
      </c>
      <c r="X112" s="3">
        <f>LEFT(C112, LEN(C112) - 5)</f>
        <v/>
      </c>
    </row>
    <row r="113" ht="75" customHeight="1" s="79">
      <c r="A113" s="2" t="inlineStr">
        <is>
          <t>Projeto Lei</t>
        </is>
      </c>
      <c r="B113" s="4">
        <f>RIGHT(C113,4)</f>
        <v/>
      </c>
      <c r="C113" s="2" t="inlineStr">
        <is>
          <t>EP 1278/2019</t>
        </is>
      </c>
      <c r="D113" s="2" t="inlineStr">
        <is>
          <t>DISPÕE SOBRE O PROGRAMA DE INCENTIVO TECNOLÓGICO À TERCEIRA IDADE, E DÁ OUTRAS PROVIDÊNCIAS.</t>
        </is>
      </c>
      <c r="E113" s="2" t="inlineStr">
        <is>
          <t>RODRIGO BACELLAR</t>
        </is>
      </c>
      <c r="F113" s="18" t="inlineStr">
        <is>
          <t>VINICIUS COZZOLINO</t>
        </is>
      </c>
      <c r="G113" s="10" t="inlineStr">
        <is>
          <t>FAVORÁVEL COM O SUBSTITUTIVO DA COMISSÃO DE CONSTITUIÇÃO E JUSTIÇA</t>
        </is>
      </c>
      <c r="H113" s="37" t="inlineStr">
        <is>
          <t>17/09/2025</t>
        </is>
      </c>
      <c r="I113" s="14" t="inlineStr">
        <is>
          <t>6ªRE
02/09/2025</t>
        </is>
      </c>
      <c r="J113" s="4" t="n"/>
      <c r="K113" s="4" t="n"/>
      <c r="L113" s="9" t="n">
        <v>45874</v>
      </c>
      <c r="M113" s="4" t="n"/>
      <c r="N113" s="18" t="n"/>
      <c r="O113" s="10" t="n"/>
      <c r="P113" s="4" t="n"/>
      <c r="Q113" s="19" t="inlineStr">
        <is>
          <t>Não</t>
        </is>
      </c>
      <c r="R113" s="13" t="inlineStr">
        <is>
          <t>Enviado o parecer por email em 04-08-2025</t>
        </is>
      </c>
      <c r="S113" s="4" t="n"/>
      <c r="T113" s="4" t="n"/>
      <c r="U113" s="7" t="n"/>
      <c r="V113" s="3" t="n"/>
      <c r="W113" s="3">
        <f>RIGHT(C113, 4)</f>
        <v/>
      </c>
      <c r="X113" s="3">
        <f>LEFT(C113, LEN(C113) - 5)</f>
        <v/>
      </c>
    </row>
    <row r="114" ht="75" customHeight="1" s="79">
      <c r="A114" s="2" t="inlineStr">
        <is>
          <t>Projeto Lei</t>
        </is>
      </c>
      <c r="B114" s="4">
        <f>RIGHT(C114,4)</f>
        <v/>
      </c>
      <c r="C114" s="73" t="inlineStr">
        <is>
          <t>4455/2021</t>
        </is>
      </c>
      <c r="D114" s="2" t="inlineStr">
        <is>
          <t>INSTITUI O PROGRAMA DE PRÁTICA DE ATIVIDADES FÍSICAS E DESPORTIVAS POR POLICIAIS CIVIS E MILITARES E DETERMINA A SUA INCORPORAÇÃO NAS ROTINAS DESSAS CORPORAÇÕES, DE FORMA FACULTATIVA A CADA POLICIAL.</t>
        </is>
      </c>
      <c r="E114" s="2" t="inlineStr">
        <is>
          <t>DANNIEL LIBRELON</t>
        </is>
      </c>
      <c r="F114" s="18" t="inlineStr">
        <is>
          <t>ALEXANDRE KNOPLOCH</t>
        </is>
      </c>
      <c r="G114" s="10" t="inlineStr">
        <is>
          <t>FAVORÁVEL COM AS EMENDAS DA COMISSÃO DE CONSTITUIÇÃO E JUSTIÇA</t>
        </is>
      </c>
      <c r="H114" s="37" t="inlineStr">
        <is>
          <t>11/02/2026</t>
        </is>
      </c>
      <c r="I114" s="14" t="inlineStr">
        <is>
          <t>8ªRE 
16/12/2025</t>
        </is>
      </c>
      <c r="J114" s="9" t="n">
        <v>45875</v>
      </c>
      <c r="K114" s="9" t="n">
        <v>45875</v>
      </c>
      <c r="L114" s="9" t="n">
        <v>45943</v>
      </c>
      <c r="M114" s="9" t="n">
        <v>46065</v>
      </c>
      <c r="N114" s="18" t="n"/>
      <c r="O114" s="10" t="n"/>
      <c r="P114" s="4" t="n"/>
      <c r="Q114" s="4" t="inlineStr">
        <is>
          <t>Não</t>
        </is>
      </c>
      <c r="R114" s="13" t="n"/>
      <c r="S114" s="4" t="n"/>
      <c r="T114" s="4" t="n"/>
      <c r="U114" s="7" t="n"/>
      <c r="V114" s="3" t="inlineStr">
        <is>
          <t>http://alerjln1.alerj.rj.gov.br/scpro1923.nsf/18c1dd68f96be3e7832566ec0018d833/4db337b98dc253fa03258704005b335d?OpenDocument</t>
        </is>
      </c>
      <c r="W114" s="3">
        <f>RIGHT(C114, 4)</f>
        <v/>
      </c>
      <c r="X114" s="3">
        <f>LEFT(C114, LEN(C114) - 5)</f>
        <v/>
      </c>
    </row>
    <row r="115" ht="75" customHeight="1" s="79">
      <c r="A115" s="2" t="inlineStr">
        <is>
          <t>Projeto Lei</t>
        </is>
      </c>
      <c r="B115" s="4" t="n">
        <v>8</v>
      </c>
      <c r="C115" s="73" t="inlineStr">
        <is>
          <t>1819/2023</t>
        </is>
      </c>
      <c r="D115" s="2" t="inlineStr">
        <is>
          <t>DISPÕE SOBRE A CRIAÇÃO DA PLATAFORMA “EMPREGA APROV” NO  ÂMBITO DO ESTADO DO RIO DE JANEIRO NA FORMA QUE MENCIONA.</t>
        </is>
      </c>
      <c r="E115" s="2" t="inlineStr">
        <is>
          <t>FILIPE SOARES</t>
        </is>
      </c>
      <c r="F115" s="18" t="inlineStr">
        <is>
          <t>ALEXANDRE KNOPLOCH</t>
        </is>
      </c>
      <c r="G115" s="10" t="inlineStr">
        <is>
          <t>FAVORÁVEL COM AS EMENDAS DA COMISSÃO DE CONSTITUIÇÃO E JUSTIÇA</t>
        </is>
      </c>
      <c r="H115" s="37" t="n"/>
      <c r="I115" s="14" t="inlineStr">
        <is>
          <t>PRÓXIMA</t>
        </is>
      </c>
      <c r="J115" s="9" t="n">
        <v>45875</v>
      </c>
      <c r="K115" s="9" t="n">
        <v>45875</v>
      </c>
      <c r="L115" s="9" t="n">
        <v>46079</v>
      </c>
      <c r="M115" s="4" t="n"/>
      <c r="N115" s="18" t="n"/>
      <c r="O115" s="10" t="n"/>
      <c r="P115" s="4" t="n"/>
      <c r="Q115" s="4" t="inlineStr">
        <is>
          <t>Sim</t>
        </is>
      </c>
      <c r="R115" s="13" t="n"/>
      <c r="S115" s="4" t="n"/>
      <c r="T115" s="4" t="n"/>
      <c r="U115" s="7" t="n"/>
      <c r="V115" s="3" t="inlineStr">
        <is>
          <t>http://alerjln1.alerj.rj.gov.br/scpro2327.nsf/18c1dd68f96be3e7832566ec0018d833/b3321d50849657e203258a1300618881?OpenDocument</t>
        </is>
      </c>
      <c r="W115" s="3">
        <f>RIGHT(C115, 4)</f>
        <v/>
      </c>
      <c r="X115" s="3">
        <f>LEFT(C115, LEN(C115) - 5)</f>
        <v/>
      </c>
    </row>
    <row r="116" ht="30" customHeight="1" s="79">
      <c r="A116" s="2" t="inlineStr">
        <is>
          <t>Projeto Lei</t>
        </is>
      </c>
      <c r="B116" s="4">
        <f>RIGHT(C116,4)</f>
        <v/>
      </c>
      <c r="C116" s="73" t="inlineStr">
        <is>
          <t>4594/2024</t>
        </is>
      </c>
      <c r="D116" s="2" t="inlineStr">
        <is>
          <t>REGULAMENTA O USO DO BRACELETE AZUL PARA PESSOAS DIABÉTICAS NO ESTADO DO RIO DE JANEIRO.</t>
        </is>
      </c>
      <c r="E116" s="2" t="inlineStr">
        <is>
          <t>ANDREZINHO CECILIANO</t>
        </is>
      </c>
      <c r="F116" s="18" t="inlineStr">
        <is>
          <t>ALEXANDRE KNOPLOCH</t>
        </is>
      </c>
      <c r="G116" s="10" t="inlineStr">
        <is>
          <t>FAVORÁVEL</t>
        </is>
      </c>
      <c r="H116" s="37" t="inlineStr">
        <is>
          <t>11/02/2026</t>
        </is>
      </c>
      <c r="I116" s="14" t="inlineStr">
        <is>
          <t>8ªRE 
16/12/2025</t>
        </is>
      </c>
      <c r="J116" s="9" t="n">
        <v>45874</v>
      </c>
      <c r="K116" s="9" t="n">
        <v>45875</v>
      </c>
      <c r="L116" s="9" t="n">
        <v>45943</v>
      </c>
      <c r="M116" s="9" t="n">
        <v>46086</v>
      </c>
      <c r="N116" s="18" t="n"/>
      <c r="O116" s="10" t="n"/>
      <c r="P116" s="4" t="n"/>
      <c r="Q116" s="4" t="inlineStr">
        <is>
          <t>Não</t>
        </is>
      </c>
      <c r="R116" s="13" t="n"/>
      <c r="S116" s="4" t="n"/>
      <c r="T116" s="4" t="n"/>
      <c r="U116" s="7" t="n"/>
      <c r="V116" s="3" t="inlineStr">
        <is>
          <t>http://alerjln1.alerj.rj.gov.br/scpro2327.nsf/18c1dd68f96be3e7832566ec0018d833/2df4cee1d576b4d403258be3005ef65c?OpenDocument</t>
        </is>
      </c>
      <c r="W116" s="3">
        <f>RIGHT(C116, 4)</f>
        <v/>
      </c>
      <c r="X116" s="3">
        <f>LEFT(C116, LEN(C116) - 5)</f>
        <v/>
      </c>
    </row>
    <row r="117" ht="90" customHeight="1" s="79">
      <c r="A117" s="2" t="inlineStr">
        <is>
          <t>Projeto Lei</t>
        </is>
      </c>
      <c r="B117" s="4">
        <f>RIGHT(C117,4)</f>
        <v/>
      </c>
      <c r="C117" s="73" t="inlineStr">
        <is>
          <t>3200/2024</t>
        </is>
      </c>
      <c r="D117" s="2" t="inlineStr">
        <is>
          <t>ALTERA A LEI ESTADUAL Nº 5.308, DE 14 DE NOVEMBRO DE 2008, QUE “DISPÕE SOBRE A OBRIGATORIEDADE DE AFIXAÇÃO DE CARTAZES COM INFORMAÇÕES SOBRE AS DOENÇAS SEXUALMENTE TRANSMISSÍVEIS – DSTS NOS SANITÁRIOS DE USO PÚBLICO DO ESTADO DO RIO DE JANEIRO”</t>
        </is>
      </c>
      <c r="E117" s="2" t="inlineStr">
        <is>
          <t>CARLINHOS BNH</t>
        </is>
      </c>
      <c r="F117" s="18" t="inlineStr">
        <is>
          <t>ALEXANDRE KNOPLOCH</t>
        </is>
      </c>
      <c r="G117" s="10" t="inlineStr">
        <is>
          <t>FAVORÁVEL COM A EMENDA DA COMISSÃO DE CONSTITUIÇÃO E JUSTIÇA</t>
        </is>
      </c>
      <c r="H117" s="37" t="inlineStr">
        <is>
          <t>11/02/2026</t>
        </is>
      </c>
      <c r="I117" s="14" t="inlineStr">
        <is>
          <t>8ªRE 
16/12/2025</t>
        </is>
      </c>
      <c r="J117" s="9" t="n">
        <v>45874</v>
      </c>
      <c r="K117" s="9" t="n">
        <v>45875</v>
      </c>
      <c r="L117" s="9" t="n">
        <v>45943</v>
      </c>
      <c r="M117" s="9" t="n">
        <v>46065</v>
      </c>
      <c r="N117" s="18" t="n"/>
      <c r="O117" s="10" t="n"/>
      <c r="P117" s="4" t="n"/>
      <c r="Q117" s="4" t="inlineStr">
        <is>
          <t>Não</t>
        </is>
      </c>
      <c r="R117" s="13" t="n"/>
      <c r="S117" s="4" t="n"/>
      <c r="T117" s="4" t="n"/>
      <c r="U117" s="7" t="n"/>
      <c r="V117" s="3" t="inlineStr">
        <is>
          <t>http://alerjln1.alerj.rj.gov.br/scpro2327.nsf/18c1dd68f96be3e7832566ec0018d833/818e202fe0453d6b03258ae0005688de?OpenDocument</t>
        </is>
      </c>
      <c r="W117" s="3">
        <f>RIGHT(C117, 4)</f>
        <v/>
      </c>
      <c r="X117" s="3">
        <f>LEFT(C117, LEN(C117) - 5)</f>
        <v/>
      </c>
    </row>
    <row r="118" ht="90" customHeight="1" s="79">
      <c r="A118" s="2" t="inlineStr">
        <is>
          <t>Projeto Lei</t>
        </is>
      </c>
      <c r="B118" s="4">
        <f>RIGHT(C118,4)</f>
        <v/>
      </c>
      <c r="C118" s="2" t="inlineStr">
        <is>
          <t>3514/2024</t>
        </is>
      </c>
      <c r="D118" s="2" t="inlineStr">
        <is>
          <t>DETERMINA A DISPONIBILIZAÇÃO DE ACESSO ATRAVÉS DE APLICATIVO PARA DISPOSITIVOS MÓVEIS, PARA O RECEBIMENTO DA DOCUMENTAÇÃO PARA FINS DA CONCESSÃO DO VALE SOCIAL, NO ÂMBITO DO ESTADO DO RIO DE JANEIRO, E DÁ OUTRAS PROVIDÊNCIAS NA FORMA EM QUE MENCIONA.</t>
        </is>
      </c>
      <c r="E118" s="2" t="inlineStr">
        <is>
          <t>ROSENVERG REIS</t>
        </is>
      </c>
      <c r="F118" s="18" t="inlineStr">
        <is>
          <t>ALEXANDRE KNOPLOCH</t>
        </is>
      </c>
      <c r="G118" s="10" t="n"/>
      <c r="H118" s="37" t="n"/>
      <c r="I118" s="14" t="n"/>
      <c r="J118" s="9" t="n">
        <v>45874</v>
      </c>
      <c r="K118" s="9" t="n">
        <v>45875</v>
      </c>
      <c r="L118" s="9" t="n"/>
      <c r="M118" s="4" t="n"/>
      <c r="N118" s="18" t="n"/>
      <c r="O118" s="10" t="n"/>
      <c r="P118" s="4" t="n"/>
      <c r="Q118" s="4" t="inlineStr">
        <is>
          <t>Sim</t>
        </is>
      </c>
      <c r="R118" s="13" t="n"/>
      <c r="S118" s="4" t="n"/>
      <c r="T118" s="4" t="n"/>
      <c r="U118" s="7" t="n"/>
      <c r="V118" s="3" t="n"/>
      <c r="W118" s="3">
        <f>RIGHT(C118, 4)</f>
        <v/>
      </c>
      <c r="X118" s="3">
        <f>LEFT(C118, LEN(C118) - 5)</f>
        <v/>
      </c>
    </row>
    <row r="119" ht="120" customHeight="1" s="79">
      <c r="A119" s="2" t="inlineStr">
        <is>
          <t>Projeto Lei</t>
        </is>
      </c>
      <c r="B119" s="4">
        <f>RIGHT(C119,4)</f>
        <v/>
      </c>
      <c r="C119" s="73" t="inlineStr">
        <is>
          <t>3016/2024</t>
        </is>
      </c>
      <c r="D119" s="2" t="inlineStr">
        <is>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is>
      </c>
      <c r="E119" s="2" t="inlineStr">
        <is>
          <t>CLAUDIO CAIADO</t>
        </is>
      </c>
      <c r="F119" s="18" t="inlineStr">
        <is>
          <t>ALEXANDRE KNOPLOCH</t>
        </is>
      </c>
      <c r="G119" s="10" t="inlineStr">
        <is>
          <t>FAVORÁVEL</t>
        </is>
      </c>
      <c r="H119" s="37" t="inlineStr">
        <is>
          <t>11/02/2026</t>
        </is>
      </c>
      <c r="I119" s="14" t="inlineStr">
        <is>
          <t>8ªRE 
16/12/2025</t>
        </is>
      </c>
      <c r="J119" s="9" t="n">
        <v>45874</v>
      </c>
      <c r="K119" s="9" t="n">
        <v>45875</v>
      </c>
      <c r="L119" s="9" t="n">
        <v>45943</v>
      </c>
      <c r="M119" s="9" t="n">
        <v>46076</v>
      </c>
      <c r="N119" s="18" t="n"/>
      <c r="O119" s="10" t="n"/>
      <c r="P119" s="4" t="n"/>
      <c r="Q119" s="4" t="inlineStr">
        <is>
          <t>Não</t>
        </is>
      </c>
      <c r="R119" s="13" t="n"/>
      <c r="S119" s="4" t="n"/>
      <c r="T119" s="4" t="n"/>
      <c r="U119" s="7" t="n"/>
      <c r="V119" s="3" t="inlineStr">
        <is>
          <t>http://alerjln1.alerj.rj.gov.br/scpro2327.nsf/18c1dd68f96be3e7832566ec0018d833/f22cb5cfa176bb5403258abc006fe7be?OpenDocument</t>
        </is>
      </c>
      <c r="W119" s="3">
        <f>RIGHT(C119, 4)</f>
        <v/>
      </c>
      <c r="X119" s="3">
        <f>LEFT(C119, LEN(C119) - 5)</f>
        <v/>
      </c>
    </row>
    <row r="120" ht="90" customHeight="1" s="79">
      <c r="A120" s="2" t="inlineStr">
        <is>
          <t>Projeto Lei</t>
        </is>
      </c>
      <c r="B120" s="4">
        <f>RIGHT(C120,4)</f>
        <v/>
      </c>
      <c r="C120" s="73" t="inlineStr">
        <is>
          <t>1608/2023</t>
        </is>
      </c>
      <c r="D120" s="2" t="inlineStr">
        <is>
          <t>ALTERA A LEI Nº 8.634, DE 25 DE NOVEMBRO DE 2019, PARA DISPOR SOBRE O ATENDIMENTO PSICOLÓGICO À PACIENTES INTERNADOS EM CONDIÇÃO DE ISOLAMENTO DECORRENTE DE DOENÇAS INFECTOCONTAGIOSAS, BEM COMO AOS RESPECTIVOS FAMILIARES.</t>
        </is>
      </c>
      <c r="E120" s="2" t="inlineStr">
        <is>
          <t>MÁRCIO CANELLA</t>
        </is>
      </c>
      <c r="F120" s="18" t="inlineStr">
        <is>
          <t>ALEXANDRE KNOPLOCH</t>
        </is>
      </c>
      <c r="G120" s="10" t="inlineStr">
        <is>
          <t>FAVORÁVEL COM A EMENDA DA COMISSÃO DE CONSTITUIÇÃO E JUSTIÇA</t>
        </is>
      </c>
      <c r="H120" s="37" t="inlineStr">
        <is>
          <t>11/02/2026</t>
        </is>
      </c>
      <c r="I120" s="14" t="inlineStr">
        <is>
          <t>8ªRE 
16/12/2025</t>
        </is>
      </c>
      <c r="J120" s="9" t="n">
        <v>45874</v>
      </c>
      <c r="K120" s="9" t="n">
        <v>45875</v>
      </c>
      <c r="L120" s="9" t="n">
        <v>45943</v>
      </c>
      <c r="M120" s="9" t="n">
        <v>46076</v>
      </c>
      <c r="N120" s="18" t="n"/>
      <c r="O120" s="10" t="n"/>
      <c r="P120" s="4" t="n"/>
      <c r="Q120" s="4" t="inlineStr">
        <is>
          <t>Não</t>
        </is>
      </c>
      <c r="R120" s="13" t="inlineStr">
        <is>
          <t>pl 1609/2023 em apenso</t>
        </is>
      </c>
      <c r="S120" s="4" t="n"/>
      <c r="T120" s="4" t="n"/>
      <c r="U120" s="7" t="n"/>
      <c r="V120" s="3" t="inlineStr">
        <is>
          <t>http://alerjln1.alerj.rj.gov.br/scpro2327.nsf/18c1dd68f96be3e7832566ec0018d833/d2005e2e97125fdf032589e3006643d6?OpenDocument</t>
        </is>
      </c>
      <c r="W120" s="3">
        <f>RIGHT(C120, 4)</f>
        <v/>
      </c>
      <c r="X120" s="3">
        <f>LEFT(C120, LEN(C120) - 5)</f>
        <v/>
      </c>
    </row>
    <row r="121" ht="75" customHeight="1" s="79">
      <c r="A121" s="2" t="inlineStr">
        <is>
          <t>Projeto Lei</t>
        </is>
      </c>
      <c r="B121" s="4">
        <f>RIGHT(C121,4)</f>
        <v/>
      </c>
      <c r="C121" s="2" t="inlineStr">
        <is>
          <t>1286/2023</t>
        </is>
      </c>
      <c r="D121" s="2" t="inlineStr">
        <is>
          <t>ALTERA A LEI 9.374 DE 21 DE JULHO DE 2021 QUE DISPÕE SOBRE A DISPENSA DE SERVIDORES PÚBLICOS ESTADUAIS OU CONTRATADOS, RESPONSÁVEIS POR CRIANÇAS DE ATÉ 12 (DOZE) ANOS INCOMPLETOS, NA FORMA QUE MENCIONA.</t>
        </is>
      </c>
      <c r="E121" s="2" t="inlineStr">
        <is>
          <t>FRED PACHECO</t>
        </is>
      </c>
      <c r="F121" s="18" t="inlineStr">
        <is>
          <t>ALEXANDRE KNOPLOCH</t>
        </is>
      </c>
      <c r="G121" s="10" t="inlineStr">
        <is>
          <t>FAVORÁVEL COM AS EMENDAS DA COMISSÃO DE CONSTITUIÇÃO E JUSTIÇA</t>
        </is>
      </c>
      <c r="H121" s="37" t="inlineStr">
        <is>
          <t>11/02/2026</t>
        </is>
      </c>
      <c r="I121" s="14" t="inlineStr">
        <is>
          <t>8ªRE 
16/12/2025</t>
        </is>
      </c>
      <c r="J121" s="9" t="n">
        <v>45874</v>
      </c>
      <c r="K121" s="9" t="n">
        <v>45875</v>
      </c>
      <c r="L121" s="9" t="n">
        <v>45943</v>
      </c>
      <c r="M121" s="9" t="n">
        <v>46065</v>
      </c>
      <c r="N121" s="18" t="n"/>
      <c r="O121" s="10" t="n"/>
      <c r="P121" s="4" t="n"/>
      <c r="Q121" s="4" t="inlineStr">
        <is>
          <t>Não</t>
        </is>
      </c>
      <c r="R121" s="13" t="n"/>
      <c r="S121" s="4" t="n"/>
      <c r="T121" s="4" t="n"/>
      <c r="U121" s="7" t="n"/>
      <c r="V121" s="3" t="n"/>
      <c r="W121" s="3">
        <f>RIGHT(C121, 4)</f>
        <v/>
      </c>
      <c r="X121" s="3">
        <f>LEFT(C121, LEN(C121) - 5)</f>
        <v/>
      </c>
    </row>
    <row r="122" ht="105" customHeight="1" s="79">
      <c r="A122" s="2" t="inlineStr">
        <is>
          <t>Projeto Lei</t>
        </is>
      </c>
      <c r="B122" s="4">
        <f>RIGHT(C122,4)</f>
        <v/>
      </c>
      <c r="C122" s="73" t="inlineStr">
        <is>
          <t>EP 5872/2022</t>
        </is>
      </c>
      <c r="D122" s="2" t="inlineStr">
        <is>
          <t>AUTORIZA, O GOVERNO DO ESTADO DO RIO DE JANEIRO, POR INTERMÉDIO DA SECRETARIA DA SAÚDE, A DISPONIBILIZAR OS ANTICOAGULANTES RIVAROXABANA, DABIGATRANA, APIXABANA, EDOXABANA OU SIMILARES PARA O TRATAMENTO CONVENCIONAL DE TROMBOSE VENOSA.</t>
        </is>
      </c>
      <c r="E122" s="2" t="inlineStr">
        <is>
          <t>DR DEODALTO</t>
        </is>
      </c>
      <c r="F122" s="18" t="inlineStr">
        <is>
          <t>ALEXANDRE KNOPLOCH</t>
        </is>
      </c>
      <c r="G122" s="10" t="inlineStr">
        <is>
          <t>FAVORÁVEL ÀS EMENDAS DE PLENÁRIO E COM O SUBSTITUTIVO DA COMISSÃO DE CONSTITUIÇÃO E JUSTIÇA</t>
        </is>
      </c>
      <c r="H122" s="37" t="inlineStr">
        <is>
          <t>23/09/2025</t>
        </is>
      </c>
      <c r="I122" s="14" t="inlineStr">
        <is>
          <t>6ªRE
02/09/2025</t>
        </is>
      </c>
      <c r="J122" s="9" t="n">
        <v>45874</v>
      </c>
      <c r="K122" s="9" t="n">
        <v>45875</v>
      </c>
      <c r="L122" s="9" t="n">
        <v>45882</v>
      </c>
      <c r="M122" s="4" t="n"/>
      <c r="N122" s="18" t="n"/>
      <c r="O122" s="10" t="n"/>
      <c r="P122" s="4" t="n"/>
      <c r="Q122" s="4" t="inlineStr">
        <is>
          <t>Não</t>
        </is>
      </c>
      <c r="R122" s="13" t="n"/>
      <c r="S122" s="4" t="n"/>
      <c r="T122" s="4" t="n"/>
      <c r="U122" s="7" t="n"/>
      <c r="V122" s="40" t="inlineStr">
        <is>
          <t>http://alerjln1.alerj.rj.gov.br/scpro1923.nsf/18c1dd68f96be3e7832566ec0018d833/b01c4f23ca849f010325883100629fb9?OpenDocument</t>
        </is>
      </c>
      <c r="W122" s="3">
        <f>RIGHT(C122, 4)</f>
        <v/>
      </c>
      <c r="X122" s="3">
        <f>LEFT(C122, LEN(C122) - 5)</f>
        <v/>
      </c>
    </row>
    <row r="123" ht="105" customHeight="1" s="79">
      <c r="A123" s="2" t="inlineStr">
        <is>
          <t>Projeto Lei</t>
        </is>
      </c>
      <c r="B123" s="4">
        <f>RIGHT(C123,4)</f>
        <v/>
      </c>
      <c r="C123" s="73" t="inlineStr">
        <is>
          <t>EP 3695/2021</t>
        </is>
      </c>
      <c r="D123" s="2" t="inlineStr">
        <is>
          <t>“DISPÕE SOBRE A PRIORIDADE DE ATENDIMENTO AOS ÓRFÃOS E ABRIGADOS EGRESSOS DE ORFANATOS OU INSTITUIÇÕES COLETIVAS, PÚBLICAS OU PRIVADAS, SEM FINS LUCRATIVOS ,NOS PROGRAMAS HABITACIONAIS IMPLEMENTADOS PELA CEHAB, COM RECURSOS PÚBLICOS, NO ÂMBITO DO ESTADO DO RIO DE JANEIRO.”</t>
        </is>
      </c>
      <c r="E123" s="2" t="inlineStr">
        <is>
          <t>BRAZAO</t>
        </is>
      </c>
      <c r="F123" s="18" t="inlineStr">
        <is>
          <t>VINICIUS COZZOLINO</t>
        </is>
      </c>
      <c r="G123" s="10" t="inlineStr">
        <is>
          <t>FAVORÁVEL COM O SUBSTITUTIVO DA COMISSÃO DE CONSTITUIÇÃO E JUSTIÇA</t>
        </is>
      </c>
      <c r="H123" s="37" t="inlineStr">
        <is>
          <t>07/01/2026</t>
        </is>
      </c>
      <c r="I123" s="14" t="inlineStr">
        <is>
          <t>8ªRE 
16/12/2025</t>
        </is>
      </c>
      <c r="J123" s="9" t="n">
        <v>45876</v>
      </c>
      <c r="K123" s="9" t="n">
        <v>45881</v>
      </c>
      <c r="L123" s="9" t="n">
        <v>45930</v>
      </c>
      <c r="M123" s="4" t="n"/>
      <c r="N123" s="18" t="n"/>
      <c r="O123" s="10" t="n"/>
      <c r="P123" s="4" t="n"/>
      <c r="Q123" s="4" t="inlineStr">
        <is>
          <t>Sim</t>
        </is>
      </c>
      <c r="R123" s="13" t="n"/>
      <c r="S123" s="4" t="n"/>
      <c r="T123" s="4" t="n"/>
      <c r="U123" s="7" t="n"/>
      <c r="V123" s="40" t="inlineStr">
        <is>
          <t>http://alerjln1.alerj.rj.gov.br/scpro1923.nsf/18c1dd68f96be3e7832566ec0018d833/e32d62f9cb4e62b703258685005e366d?OpenDocument</t>
        </is>
      </c>
      <c r="W123" s="3">
        <f>RIGHT(C123, 4)</f>
        <v/>
      </c>
      <c r="X123" s="3">
        <f>LEFT(C123, LEN(C123) - 5)</f>
        <v/>
      </c>
    </row>
    <row r="124" ht="90" customHeight="1" s="79">
      <c r="A124" s="2" t="inlineStr">
        <is>
          <t>Projeto Lei</t>
        </is>
      </c>
      <c r="B124" s="4">
        <f>RIGHT(C124,4)</f>
        <v/>
      </c>
      <c r="C124" s="2" t="inlineStr">
        <is>
          <t>304/2023</t>
        </is>
      </c>
      <c r="D124" s="2" t="inlineStr">
        <is>
          <t>ALTERA A LEI Nº 6.890, DE 19 DE SETEMBRO DE 2014, QUE DISPÕE SOBRE A OBRIGATORIEDADE DA INSPEÇÃO QUINQUENAL DE SEGURANÇA NAS INSTALAÇÕES DE GÁS DAS UNIDADES RESIDENCIAIS E COMERCIAIS SUPRIDAS POR GASES COMBUSTÍVEIS NO ESTADO DO RIO DE JANEIRO.</t>
        </is>
      </c>
      <c r="E124" s="2" t="inlineStr">
        <is>
          <t>RODRIGO AMORIM</t>
        </is>
      </c>
      <c r="F124" s="18" t="inlineStr">
        <is>
          <t>VINICIUS COZZOLINO</t>
        </is>
      </c>
      <c r="G124" s="10" t="inlineStr">
        <is>
          <t>FAVORÁVEL</t>
        </is>
      </c>
      <c r="H124" s="37" t="inlineStr">
        <is>
          <t>07/01/2026</t>
        </is>
      </c>
      <c r="I124" s="14" t="inlineStr">
        <is>
          <t>8ªRE 
16/12/2025</t>
        </is>
      </c>
      <c r="J124" s="9" t="n">
        <v>45876</v>
      </c>
      <c r="K124" s="9" t="n">
        <v>45881</v>
      </c>
      <c r="L124" s="9" t="n">
        <v>45930</v>
      </c>
      <c r="M124" s="4" t="n"/>
      <c r="N124" s="18" t="n"/>
      <c r="O124" s="10" t="n"/>
      <c r="P124" s="4" t="n"/>
      <c r="Q124" s="4" t="inlineStr">
        <is>
          <t>Sim</t>
        </is>
      </c>
      <c r="R124" s="13" t="n"/>
      <c r="S124" s="4" t="n"/>
      <c r="T124" s="4" t="n"/>
      <c r="U124" s="7" t="n"/>
      <c r="V124" s="40" t="inlineStr">
        <is>
          <t>http://alerjln1.alerj.rj.gov.br/scpro2327.nsf/18c1dd68f96be3e7832566ec0018d833/3afcfd9a8f0a502003258965005456c8?OpenDocument</t>
        </is>
      </c>
      <c r="W124" s="3">
        <f>RIGHT(C124, 4)</f>
        <v/>
      </c>
      <c r="X124" s="3">
        <f>LEFT(C124, LEN(C124) - 5)</f>
        <v/>
      </c>
    </row>
    <row r="125" ht="75" customHeight="1" s="79">
      <c r="A125" s="2" t="inlineStr">
        <is>
          <t>Projeto Lei</t>
        </is>
      </c>
      <c r="B125" s="4">
        <f>RIGHT(C125,4)</f>
        <v/>
      </c>
      <c r="C125" s="2" t="inlineStr">
        <is>
          <t>3907/2024</t>
        </is>
      </c>
      <c r="D125" s="2" t="inlineStr">
        <is>
          <t>INSTITUI A POLÍTICA ESTADUAL DE CONSCIENTIZAÇÃO E EDUCAÇÃO SOBRE A HABITAÇÃO SEGURA E LEGAL NO ESTADO DO RIO DE JANEIRO.</t>
        </is>
      </c>
      <c r="E125" s="2" t="inlineStr">
        <is>
          <t>ZEIDAN</t>
        </is>
      </c>
      <c r="F125" s="18" t="inlineStr">
        <is>
          <t>VINICIUS COZZOLINO</t>
        </is>
      </c>
      <c r="G125" s="10" t="inlineStr">
        <is>
          <t>FAVORÁVEL COM AS EMENDAS DA COMISSÃO DE CONSTITUIÇÃO E JUSTIÇA</t>
        </is>
      </c>
      <c r="H125" s="37" t="inlineStr">
        <is>
          <t>11/02/2026</t>
        </is>
      </c>
      <c r="I125" s="14" t="inlineStr">
        <is>
          <t>8ªRE 
16/12/2025</t>
        </is>
      </c>
      <c r="J125" s="9" t="n">
        <v>45876</v>
      </c>
      <c r="K125" s="9" t="n">
        <v>45881</v>
      </c>
      <c r="L125" s="9" t="n">
        <v>45930</v>
      </c>
      <c r="M125" s="9" t="n">
        <v>46065</v>
      </c>
      <c r="N125" s="18" t="n"/>
      <c r="O125" s="10" t="n"/>
      <c r="P125" s="4" t="n"/>
      <c r="Q125" s="4" t="inlineStr">
        <is>
          <t>Não</t>
        </is>
      </c>
      <c r="R125" s="13" t="n"/>
      <c r="S125" s="4" t="n"/>
      <c r="T125" s="4" t="n"/>
      <c r="U125" s="7" t="n"/>
      <c r="V125" s="40" t="inlineStr">
        <is>
          <t>http://alerjln1.alerj.rj.gov.br/scpro2327.nsf/18c1dd68f96be3e7832566ec0018d833/1ea27ec312b8e68b03258b71005bb716?OpenDocument</t>
        </is>
      </c>
      <c r="W125" s="3">
        <f>RIGHT(C125, 4)</f>
        <v/>
      </c>
      <c r="X125" s="3">
        <f>LEFT(C125, LEN(C125) - 5)</f>
        <v/>
      </c>
    </row>
    <row r="126" ht="75" customHeight="1" s="79">
      <c r="A126" s="2" t="inlineStr">
        <is>
          <t>Projeto Lei</t>
        </is>
      </c>
      <c r="B126" s="4">
        <f>RIGHT(C126,4)</f>
        <v/>
      </c>
      <c r="C126" s="2" t="inlineStr">
        <is>
          <t>702/2019</t>
        </is>
      </c>
      <c r="D126" s="2" t="inlineStr">
        <is>
          <t>INSTITUI A GRATUIDADE TEMPORÁRIA NO SISTEMA DE TRANSPORTE PÚBLICO COLETIVO DO ESTADO DO RIO DE JANEIRO PARA MULHERES VÍTIMAS DE VIOLÊNCIA DOMÉSTICA, E DÁ OUTRAS PROVIDÊNCIAS.</t>
        </is>
      </c>
      <c r="E126" s="2" t="inlineStr">
        <is>
          <t>RENATO COZZOLINO</t>
        </is>
      </c>
      <c r="F126" s="18" t="inlineStr">
        <is>
          <t>LUIZ PAULO</t>
        </is>
      </c>
      <c r="G126" s="10" t="inlineStr">
        <is>
          <t>FAVORÁVEL COM AS EMENDAS DA COMISSÃO DE CONSTITUIÇÃO E JUSTIÇA</t>
        </is>
      </c>
      <c r="H126" s="37" t="inlineStr">
        <is>
          <t>05/03/2026</t>
        </is>
      </c>
      <c r="I126" s="14" t="inlineStr">
        <is>
          <t>1ªRE 
24/02/2026</t>
        </is>
      </c>
      <c r="J126" s="9" t="n">
        <v>45881</v>
      </c>
      <c r="K126" s="9" t="n">
        <v>45881</v>
      </c>
      <c r="L126" s="9" t="n">
        <v>46065</v>
      </c>
      <c r="M126" s="9" t="n">
        <v>46086</v>
      </c>
      <c r="N126" s="18" t="n"/>
      <c r="O126" s="10" t="n"/>
      <c r="P126" s="9" t="n"/>
      <c r="Q126" s="4" t="inlineStr">
        <is>
          <t>Não</t>
        </is>
      </c>
      <c r="R126" s="2" t="n"/>
      <c r="S126" s="4" t="n"/>
      <c r="T126" s="4" t="n"/>
      <c r="U126" s="7" t="n"/>
      <c r="V126" s="3" t="inlineStr">
        <is>
          <t>&lt;a href='http://alerjln1.alerj.rj.gov.br/scpro1923.nsf/18c1dd68f96be3e7832566ec0018d833/bac01ba5373abf61832584100071a846?OpenDocument'&gt; LINK&lt;/a&gt;</t>
        </is>
      </c>
      <c r="W126" s="3">
        <f>RIGHT(C126, 4)</f>
        <v/>
      </c>
      <c r="X126" s="3">
        <f>LEFT(C126, LEN(C126) - 5)</f>
        <v/>
      </c>
    </row>
    <row r="127" ht="75" customHeight="1" s="79">
      <c r="A127" s="2" t="inlineStr">
        <is>
          <t>Projeto Lei</t>
        </is>
      </c>
      <c r="B127" s="4">
        <f>RIGHT(C127,4)</f>
        <v/>
      </c>
      <c r="C127" s="2" t="inlineStr">
        <is>
          <t>2047/2020</t>
        </is>
      </c>
      <c r="D127" s="2" t="inlineStr">
        <is>
          <t>DISPÕE SOBRE A INTERNAÇÃO DE PACIENTES INFECTADOS PELA COVID-19 NA REDE PRIVADA DE HOSPITAIS, QUANDO REQUERIDO POR MÉDICO CREDENCIADO AO SISTEMA ÚNICO DE SAÚDE, EM CASO DE INEXISTÊNCIA DE VAGA NA REDE PÚBLICA.</t>
        </is>
      </c>
      <c r="E127" s="2" t="inlineStr">
        <is>
          <t>FLAVIO SERAFINI,ELIOMAR COELHO,RENATA SOUZA,DANI MONTEIRO,MÔNICA FRANCISCO</t>
        </is>
      </c>
      <c r="F127" s="18" t="inlineStr">
        <is>
          <t>VINICIUS COZZOLINO</t>
        </is>
      </c>
      <c r="G127" s="10" t="inlineStr">
        <is>
          <t>CONTRÁRIO</t>
        </is>
      </c>
      <c r="H127" s="37" t="inlineStr">
        <is>
          <t>11/02/2026</t>
        </is>
      </c>
      <c r="I127" s="14" t="inlineStr">
        <is>
          <t>8ªRE 
16/12/2025</t>
        </is>
      </c>
      <c r="J127" s="9" t="n">
        <v>45881</v>
      </c>
      <c r="K127" s="9" t="n">
        <v>45881</v>
      </c>
      <c r="L127" s="9" t="n">
        <v>45930</v>
      </c>
      <c r="M127" s="9" t="n">
        <v>46065</v>
      </c>
      <c r="N127" s="18" t="n"/>
      <c r="O127" s="10" t="n"/>
      <c r="P127" s="4" t="n"/>
      <c r="Q127" s="4" t="inlineStr">
        <is>
          <t>Não</t>
        </is>
      </c>
      <c r="R127" s="13" t="n"/>
      <c r="S127" s="4" t="n"/>
      <c r="T127" s="4" t="n"/>
      <c r="U127" s="7" t="n"/>
      <c r="V127" s="3" t="inlineStr">
        <is>
          <t>&lt;a href='http://alerjln1.alerj.rj.gov.br/scpro1923.nsf/18c1dd68f96be3e7832566ec0018d833/1d14744e1bfe3acc0325852f0067006a?OpenDocument'&gt; LINK&lt;/a&gt;</t>
        </is>
      </c>
      <c r="W127" s="3">
        <f>RIGHT(C127, 4)</f>
        <v/>
      </c>
      <c r="X127" s="3">
        <f>LEFT(C127, LEN(C127) - 5)</f>
        <v/>
      </c>
    </row>
    <row r="128" ht="60" customHeight="1" s="79">
      <c r="A128" s="2" t="inlineStr">
        <is>
          <t>Projeto Lei</t>
        </is>
      </c>
      <c r="B128" s="4">
        <f>RIGHT(C128,4)</f>
        <v/>
      </c>
      <c r="C128" s="2" t="inlineStr">
        <is>
          <t>3314/2020</t>
        </is>
      </c>
      <c r="D128" s="2" t="inlineStr">
        <is>
          <t>ALTERA O ANEXO DA LEI Nº 5645, DE 6 DE JANEIRO DE 2010, INCLUINDO NO CALENDÁRIO OFICIAL DO ESTADO DO RIO DE JANEIRO A SEMANA ESTADUAL DA SUINOCULTURA.</t>
        </is>
      </c>
      <c r="E128" s="2" t="inlineStr">
        <is>
          <t>DANNIEL LIBRELON</t>
        </is>
      </c>
      <c r="F128" s="18" t="inlineStr">
        <is>
          <t>VINICIUS COZZOLINO</t>
        </is>
      </c>
      <c r="G128" s="10" t="inlineStr">
        <is>
          <t>FAVORÁVEL</t>
        </is>
      </c>
      <c r="H128" s="37" t="inlineStr">
        <is>
          <t>11/02/2026</t>
        </is>
      </c>
      <c r="I128" s="14" t="inlineStr">
        <is>
          <t>8ªRE 
16/12/2025</t>
        </is>
      </c>
      <c r="J128" s="9" t="n">
        <v>45881</v>
      </c>
      <c r="K128" s="9" t="n">
        <v>45881</v>
      </c>
      <c r="L128" s="9" t="n">
        <v>45930</v>
      </c>
      <c r="M128" s="9" t="n">
        <v>46065</v>
      </c>
      <c r="N128" s="18" t="n"/>
      <c r="O128" s="10" t="n"/>
      <c r="P128" s="4" t="n"/>
      <c r="Q128" s="4" t="inlineStr">
        <is>
          <t>Não</t>
        </is>
      </c>
      <c r="R128" s="13" t="n"/>
      <c r="S128" s="4" t="n"/>
      <c r="T128" s="4" t="n"/>
      <c r="U128" s="7" t="n"/>
      <c r="V128" s="3" t="inlineStr">
        <is>
          <t>&lt;a href='http://alerjln1.alerj.rj.gov.br/scpro1923.nsf/18c1dd68f96be3e7832566ec0018d833/c20cd4f3235aee1c0325861c005cfa02?OpenDocument'&gt; LINK&lt;/a&gt;</t>
        </is>
      </c>
      <c r="W128" s="3">
        <f>RIGHT(C128, 4)</f>
        <v/>
      </c>
      <c r="X128" s="3">
        <f>LEFT(C128, LEN(C128) - 5)</f>
        <v/>
      </c>
    </row>
    <row r="129" ht="90" customHeight="1" s="79">
      <c r="A129" s="2" t="inlineStr">
        <is>
          <t>Projeto Lei</t>
        </is>
      </c>
      <c r="B129" s="4">
        <f>RIGHT(C129,4)</f>
        <v/>
      </c>
      <c r="C129" s="2" t="inlineStr">
        <is>
          <t>3369/2020</t>
        </is>
      </c>
      <c r="D129" s="2" t="inlineStr">
        <is>
          <t>ASSEGURA O ACESSO DE ANIMAIS DOMÉSTICOS E DE ESTIMAÇÃO EM ASILOS, CRECHES E UNIDADES DESTINADAS À INTERNAÇÃO E TRATAMENTO DE PESSOAS COM TRANSTORNOS MENTAIS E DEPENDENTES QUÍMICOS E DÁ OUTRAS PROVIDÊNCIAS.</t>
        </is>
      </c>
      <c r="E129" s="2" t="inlineStr">
        <is>
          <t>DANNIEL LIBRELON</t>
        </is>
      </c>
      <c r="F129" s="18" t="inlineStr">
        <is>
          <t>VINICIUS COZZOLINO</t>
        </is>
      </c>
      <c r="G129" s="10" t="inlineStr">
        <is>
          <t>FAVORÁVEL COM O SUBSTITUTIVO DA COMISSÃO DE CONSTITUIÇÃO E JUSTIÇA</t>
        </is>
      </c>
      <c r="H129" s="37" t="inlineStr">
        <is>
          <t>11/02/2026</t>
        </is>
      </c>
      <c r="I129" s="14" t="inlineStr">
        <is>
          <t>8ªRE 
16/12/2025</t>
        </is>
      </c>
      <c r="J129" s="9" t="n">
        <v>45881</v>
      </c>
      <c r="K129" s="9" t="n">
        <v>45881</v>
      </c>
      <c r="L129" s="9" t="n">
        <v>45930</v>
      </c>
      <c r="M129" s="9" t="n">
        <v>46065</v>
      </c>
      <c r="N129" s="18" t="n"/>
      <c r="O129" s="10" t="n"/>
      <c r="P129" s="4" t="n"/>
      <c r="Q129" s="4" t="inlineStr">
        <is>
          <t>Não</t>
        </is>
      </c>
      <c r="R129" s="13" t="n"/>
      <c r="S129" s="4" t="n"/>
      <c r="T129" s="4" t="n"/>
      <c r="U129" s="7" t="n"/>
      <c r="V129" s="3" t="inlineStr">
        <is>
          <t>&lt;a href='http://alerjln1.alerj.rj.gov.br/scpro1923.nsf/18c1dd68f96be3e7832566ec0018d833/13f3c064ef01ef660325862c005ae0aa?OpenDocument'&gt; LINK&lt;/a&gt;</t>
        </is>
      </c>
      <c r="W129" s="3">
        <f>RIGHT(C129, 4)</f>
        <v/>
      </c>
      <c r="X129" s="3">
        <f>LEFT(C129, LEN(C129) - 5)</f>
        <v/>
      </c>
    </row>
    <row r="130" ht="75" customHeight="1" s="79">
      <c r="A130" s="2" t="inlineStr">
        <is>
          <t>Projeto Lei</t>
        </is>
      </c>
      <c r="B130" s="4">
        <f>RIGHT(C130,4)</f>
        <v/>
      </c>
      <c r="C130" s="2" t="inlineStr">
        <is>
          <t>4740/2021</t>
        </is>
      </c>
      <c r="D130" s="2" t="inlineStr">
        <is>
          <t>DISPÕE SOBRE O FORNECIMENTO DE PROTETOR AURICULAR PARA PESSOAS COM TRANSTORNO DE ESPECTRO AUTISTA (TEA) PELO METRÔ DO RIO DE JANEIRO E PELA SUPERVIA, NA FORMA QUE MENCIONA</t>
        </is>
      </c>
      <c r="E130" s="2" t="inlineStr">
        <is>
          <t>TIA JU</t>
        </is>
      </c>
      <c r="F130" s="18" t="inlineStr">
        <is>
          <t>VINICIUS COZZOLINO</t>
        </is>
      </c>
      <c r="G130" s="10" t="inlineStr">
        <is>
          <t>FAVORÁVEL COM AS EMENDAS DA COMISSÃO DE CONSTITUIÇÃO E JUSTIÇA</t>
        </is>
      </c>
      <c r="H130" s="37" t="inlineStr">
        <is>
          <t>11/02/2026</t>
        </is>
      </c>
      <c r="I130" s="14" t="inlineStr">
        <is>
          <t>8ªRE 
16/12/2025</t>
        </is>
      </c>
      <c r="J130" s="9" t="n">
        <v>45881</v>
      </c>
      <c r="K130" s="9" t="n">
        <v>45881</v>
      </c>
      <c r="L130" s="9" t="n">
        <v>45930</v>
      </c>
      <c r="M130" s="9" t="n">
        <v>46065</v>
      </c>
      <c r="N130" s="18" t="n"/>
      <c r="O130" s="10" t="n"/>
      <c r="P130" s="4" t="n"/>
      <c r="Q130" s="4" t="inlineStr">
        <is>
          <t>Não</t>
        </is>
      </c>
      <c r="R130" s="13" t="n"/>
      <c r="S130" s="4" t="n"/>
      <c r="T130" s="4" t="n"/>
      <c r="U130" s="7" t="n"/>
      <c r="V130" s="3" t="inlineStr">
        <is>
          <t>&lt;a href='http://alerjln1.alerj.rj.gov.br/scpro1923.nsf/18c1dd68f96be3e7832566ec0018d833/e29a9ad8b1858ba103258742005a7dd5?OpenDocument'&gt; LINK&lt;/a&gt;</t>
        </is>
      </c>
      <c r="W130" s="3">
        <f>RIGHT(C130, 4)</f>
        <v/>
      </c>
      <c r="X130" s="3">
        <f>LEFT(C130, LEN(C130) - 5)</f>
        <v/>
      </c>
    </row>
    <row r="131" ht="105" customHeight="1" s="79">
      <c r="A131" s="2" t="inlineStr">
        <is>
          <t>Projeto Lei</t>
        </is>
      </c>
      <c r="B131" s="4">
        <f>RIGHT(C131,4)</f>
        <v/>
      </c>
      <c r="C131" s="2" t="inlineStr">
        <is>
          <t>30/2023</t>
        </is>
      </c>
      <c r="D131" s="2" t="inlineStr">
        <is>
          <t>DISPÕE SOBRE A OBRIGATORIEDADE DE AS OPERADORAS DE PLANO DE SAÚDE  REEMBOLSAREM, NO VALOR PREVISTO EM TABELA, O TRATAMENTO E/OU TERAPIA COBERTOS, CASO TENHA SIDO CUSTEADO PELO CONSUMIDOR, EM RAZÃO DA INDISPONIBILIDADE MOMENTÂNEA OU NÃO, DO SERVIÇO PREVISTO EM CONTRATO.</t>
        </is>
      </c>
      <c r="E131" s="2" t="inlineStr">
        <is>
          <t>MARTHA ROCHA</t>
        </is>
      </c>
      <c r="F131" s="18" t="inlineStr">
        <is>
          <t>VINICIUS COZZOLINO</t>
        </is>
      </c>
      <c r="G131" s="10" t="inlineStr">
        <is>
          <t>FAVORÁVEL</t>
        </is>
      </c>
      <c r="H131" s="37" t="inlineStr">
        <is>
          <t>07/01/2026</t>
        </is>
      </c>
      <c r="I131" s="14" t="inlineStr">
        <is>
          <t>8ªRE 
16/12/2025</t>
        </is>
      </c>
      <c r="J131" s="9" t="n">
        <v>45881</v>
      </c>
      <c r="K131" s="9" t="n">
        <v>45881</v>
      </c>
      <c r="L131" s="9" t="n">
        <v>45930</v>
      </c>
      <c r="M131" s="4" t="n"/>
      <c r="N131" s="18" t="n"/>
      <c r="O131" s="10" t="n"/>
      <c r="P131" s="4" t="n"/>
      <c r="Q131" s="4" t="inlineStr">
        <is>
          <t>Sim</t>
        </is>
      </c>
      <c r="R131" s="13" t="n"/>
      <c r="S131" s="4" t="n"/>
      <c r="T131" s="4" t="n"/>
      <c r="U131" s="7" t="n"/>
      <c r="V131" s="3" t="inlineStr">
        <is>
          <t>&lt;a href='http://alerjln1.alerj.rj.gov.br/scpro2327.nsf/18c1dd68f96be3e7832566ec0018d833/4316729cb259c4cd0325894a006d8002?OpenDocument'&gt; LINK&lt;/a&gt;</t>
        </is>
      </c>
      <c r="W131" s="3">
        <f>RIGHT(C131, 4)</f>
        <v/>
      </c>
      <c r="X131" s="3">
        <f>LEFT(C131, LEN(C131) - 5)</f>
        <v/>
      </c>
    </row>
    <row r="132" ht="45" customHeight="1" s="79">
      <c r="A132" s="2" t="inlineStr">
        <is>
          <t>Projeto Lei</t>
        </is>
      </c>
      <c r="B132" s="4">
        <f>RIGHT(C132,4)</f>
        <v/>
      </c>
      <c r="C132" s="2" t="inlineStr">
        <is>
          <t>5588/2022</t>
        </is>
      </c>
      <c r="D132" s="2" t="inlineStr">
        <is>
          <t>INSTITUI A CARTEIRA DE IDENTIFICAÇÃO DA PESSOA COM FIBROMIALGIA (CIPFIBRO) NO ÂMBITO DO ESTADO DO RIO DE JANEIRO.</t>
        </is>
      </c>
      <c r="E132" s="2" t="inlineStr">
        <is>
          <t>RODRIGO AMORIM</t>
        </is>
      </c>
      <c r="F132" s="18" t="inlineStr">
        <is>
          <t>LUIZ PAULO</t>
        </is>
      </c>
      <c r="G132" s="10" t="inlineStr">
        <is>
          <t>FAVORÁVEL COM EMENDA</t>
        </is>
      </c>
      <c r="H132" s="37" t="inlineStr">
        <is>
          <t>20/02/2026</t>
        </is>
      </c>
      <c r="I132" s="14" t="inlineStr">
        <is>
          <t>8ªRE 
16/12/2025</t>
        </is>
      </c>
      <c r="J132" s="9" t="n">
        <v>45881</v>
      </c>
      <c r="K132" s="9" t="n">
        <v>45881</v>
      </c>
      <c r="L132" s="9" t="n">
        <v>45978</v>
      </c>
      <c r="M132" s="9" t="n">
        <v>46076</v>
      </c>
      <c r="N132" s="18" t="n"/>
      <c r="O132" s="10" t="n"/>
      <c r="P132" s="4" t="n"/>
      <c r="Q132" s="4" t="inlineStr">
        <is>
          <t>Não</t>
        </is>
      </c>
      <c r="R132" s="13" t="inlineStr">
        <is>
          <t>PL 561/2023 apensado</t>
        </is>
      </c>
      <c r="S132" s="4" t="n"/>
      <c r="T132" s="4" t="n"/>
      <c r="U132" s="7" t="n"/>
      <c r="V132" s="3" t="inlineStr">
        <is>
          <t>&lt;a href='http://alerjln1.alerj.rj.gov.br/scpro1923.nsf/18c1dd68f96be3e7832566ec0018d833/5bebbd6ebb1017a2032588060066f8f6?OpenDocument'&gt; LINK&lt;/a&gt;</t>
        </is>
      </c>
      <c r="W132" s="3">
        <f>RIGHT(C132, 4)</f>
        <v/>
      </c>
      <c r="X132" s="3">
        <f>LEFT(C132, LEN(C132) - 5)</f>
        <v/>
      </c>
    </row>
    <row r="133" ht="75" customHeight="1" s="79">
      <c r="A133" s="2" t="inlineStr">
        <is>
          <t>Projeto Lei</t>
        </is>
      </c>
      <c r="B133" s="4">
        <f>RIGHT(C133,4)</f>
        <v/>
      </c>
      <c r="C133" s="2" t="inlineStr">
        <is>
          <t>116/2023</t>
        </is>
      </c>
      <c r="D133" s="2" t="inlineStr">
        <is>
          <t>ALTERA A LEI Nº 4.077, DE 07 DE JANEIRO DE 2003, PARA REGULAMENTAR A DOAÇÃO DE EXEMPLARES DE LIVROS PRODUZIDOS NO ESTADO DO RIO DE JANEIRO PARA A BIBLIOTECA PÚBLICA ESTADUAL E OUTRAS BIBLIOTECAS PÚBLICAS.</t>
        </is>
      </c>
      <c r="E133" s="2" t="inlineStr">
        <is>
          <t>MÁRCIO CANELLA</t>
        </is>
      </c>
      <c r="F133" s="18" t="inlineStr">
        <is>
          <t>LUIZ PAULO</t>
        </is>
      </c>
      <c r="G133" s="10" t="inlineStr">
        <is>
          <t>FAVORÁVEL</t>
        </is>
      </c>
      <c r="H133" s="37" t="inlineStr">
        <is>
          <t>07/01/2026</t>
        </is>
      </c>
      <c r="I133" s="14" t="inlineStr">
        <is>
          <t>8ªRE 
16/12/2025</t>
        </is>
      </c>
      <c r="J133" s="9" t="n">
        <v>45881</v>
      </c>
      <c r="K133" s="9" t="n">
        <v>45881</v>
      </c>
      <c r="L133" s="9" t="n">
        <v>45988</v>
      </c>
      <c r="M133" s="9" t="n"/>
      <c r="N133" s="18" t="n"/>
      <c r="O133" s="10" t="n"/>
      <c r="P133" s="9" t="n"/>
      <c r="Q133" s="4" t="inlineStr">
        <is>
          <t>Sim</t>
        </is>
      </c>
      <c r="R133" s="13" t="n"/>
      <c r="S133" s="4" t="n"/>
      <c r="T133" s="4" t="n"/>
      <c r="U133" s="7" t="n"/>
      <c r="V133" s="3" t="inlineStr">
        <is>
          <t>&lt;a href='http://alerjln1.alerj.rj.gov.br/scpro2327.nsf/18c1dd68f96be3e7832566ec0018d833/db7484ab156fce410325894a00606dab?OpenDocument'&gt; LINK&lt;/a&gt;</t>
        </is>
      </c>
      <c r="W133" s="3">
        <f>RIGHT(C133, 4)</f>
        <v/>
      </c>
      <c r="X133" s="3">
        <f>LEFT(C133, LEN(C133) - 5)</f>
        <v/>
      </c>
    </row>
    <row r="134" ht="75" customHeight="1" s="79">
      <c r="A134" s="2" t="inlineStr">
        <is>
          <t>Projeto Lei</t>
        </is>
      </c>
      <c r="B134" s="4">
        <f>RIGHT(C134,4)</f>
        <v/>
      </c>
      <c r="C134" s="2" t="inlineStr">
        <is>
          <t>901/2023</t>
        </is>
      </c>
      <c r="D134" s="2" t="inlineStr">
        <is>
          <t>CRIA A ESCOLA DE TURISMO DO ESTADO
DO RIO DE JANEIRO.</t>
        </is>
      </c>
      <c r="E134" s="2" t="inlineStr">
        <is>
          <t>VINICIUS COZZOLINO</t>
        </is>
      </c>
      <c r="F134" s="18" t="inlineStr">
        <is>
          <t>LUIZ PAULO</t>
        </is>
      </c>
      <c r="G134" s="10" t="inlineStr">
        <is>
          <t>FAVORÁVEL COM AS EMENDAS DA COMISSÃO DE CONSTITUIÇÃO E JUSTIÇA</t>
        </is>
      </c>
      <c r="H134" s="37" t="inlineStr">
        <is>
          <t>27/02/2026</t>
        </is>
      </c>
      <c r="I134" s="14" t="inlineStr">
        <is>
          <t>1ªRE 
24/02/2026</t>
        </is>
      </c>
      <c r="J134" s="9" t="n">
        <v>45881</v>
      </c>
      <c r="K134" s="9" t="n">
        <v>45881</v>
      </c>
      <c r="L134" s="9" t="n">
        <v>46065</v>
      </c>
      <c r="M134" s="37" t="inlineStr">
        <is>
          <t>27/02/2026</t>
        </is>
      </c>
      <c r="N134" s="18" t="n"/>
      <c r="O134" s="10" t="n"/>
      <c r="P134" s="9" t="n"/>
      <c r="Q134" s="4" t="inlineStr">
        <is>
          <t>Não</t>
        </is>
      </c>
      <c r="R134" s="2" t="n"/>
      <c r="S134" s="4" t="n"/>
      <c r="T134" s="4" t="n"/>
      <c r="U134" s="7" t="n"/>
      <c r="V134" s="3" t="inlineStr">
        <is>
          <t>&lt;a href='http://alerjln1.alerj.rj.gov.br/scpro2327.nsf/18c1dd68f96be3e7832566ec0018d833/59328c69d2994d9f032589940062021f?OpenDocument'&gt; LINK&lt;/a&gt;</t>
        </is>
      </c>
      <c r="W134" s="3">
        <f>RIGHT(C134, 4)</f>
        <v/>
      </c>
      <c r="X134" s="3">
        <f>LEFT(C134, LEN(C134) - 5)</f>
        <v/>
      </c>
    </row>
    <row r="135" ht="60" customHeight="1" s="79">
      <c r="A135" s="2" t="inlineStr">
        <is>
          <t>Projeto Lei</t>
        </is>
      </c>
      <c r="B135" s="4">
        <f>RIGHT(C135,4)</f>
        <v/>
      </c>
      <c r="C135" s="2" t="inlineStr">
        <is>
          <t>910/2023</t>
        </is>
      </c>
      <c r="D135" s="2" t="inlineStr">
        <is>
          <t>ALTERA A LEI Nº 8.520, DE 10 DE SETEMBRO DE 2019, QUE DISPÕE SOBRE A TRANSPARÊNCIA ACERCA DA DÍVIDA ATIVA DO ESTADO DO RIO DE JANEIRO, NA FORMA QUE MENCIONA.</t>
        </is>
      </c>
      <c r="E135" s="2" t="inlineStr">
        <is>
          <t>VINICIUS COZZOLINO</t>
        </is>
      </c>
      <c r="F135" s="18" t="inlineStr">
        <is>
          <t>LUIZ PAULO</t>
        </is>
      </c>
      <c r="G135" s="10" t="inlineStr">
        <is>
          <t>FAVORÁVEL</t>
        </is>
      </c>
      <c r="H135" s="37" t="inlineStr">
        <is>
          <t>20/02/2026</t>
        </is>
      </c>
      <c r="I135" s="14" t="inlineStr">
        <is>
          <t>1ªRE 
24/02/2026</t>
        </is>
      </c>
      <c r="J135" s="9" t="n">
        <v>45881</v>
      </c>
      <c r="K135" s="9" t="n">
        <v>45881</v>
      </c>
      <c r="L135" s="9" t="n">
        <v>45978</v>
      </c>
      <c r="M135" s="9" t="n">
        <v>46076</v>
      </c>
      <c r="N135" s="18" t="n"/>
      <c r="O135" s="10" t="n"/>
      <c r="P135" s="4" t="n"/>
      <c r="Q135" s="4" t="inlineStr">
        <is>
          <t>Não</t>
        </is>
      </c>
      <c r="R135" s="13" t="n"/>
      <c r="S135" s="4" t="n"/>
      <c r="T135" s="4" t="n"/>
      <c r="U135" s="7" t="n"/>
      <c r="V135" s="3" t="inlineStr">
        <is>
          <t>&lt;a href='http://alerjln1.alerj.rj.gov.br/scpro2327.nsf/18c1dd68f96be3e7832566ec0018d833/09b50e234a484fdc03258995004f4e54?OpenDocument'&gt; LINK&lt;/a&gt;</t>
        </is>
      </c>
      <c r="W135" s="3">
        <f>RIGHT(C135, 4)</f>
        <v/>
      </c>
      <c r="X135" s="3">
        <f>LEFT(C135, LEN(C135) - 5)</f>
        <v/>
      </c>
    </row>
    <row r="136" ht="75" customHeight="1" s="79">
      <c r="A136" s="2" t="inlineStr">
        <is>
          <t>Projeto Lei</t>
        </is>
      </c>
      <c r="B136" s="4">
        <f>RIGHT(C136,4)</f>
        <v/>
      </c>
      <c r="C136" s="2" t="inlineStr">
        <is>
          <t>1468/2023</t>
        </is>
      </c>
      <c r="D136" s="2" t="inlineStr">
        <is>
          <t>DISPÕE SOBRE A OBRIGATORIEDADE DE AVISO SONORO E CRONÔMETRO NAS PLATAFORMAS DE METRÔS E TRENS, COM ALERTA E ORIENTAÇÃO AOS USUÁRIOS, SOBRE O FECHAMENTO DAS PORTAS.</t>
        </is>
      </c>
      <c r="E136" s="2" t="inlineStr">
        <is>
          <t>RODRIGO AMORIM</t>
        </is>
      </c>
      <c r="F136" s="18" t="inlineStr">
        <is>
          <t>LUIZ PAULO</t>
        </is>
      </c>
      <c r="G136" s="10" t="inlineStr">
        <is>
          <t>FAVORÁVEL COM A EMENDA DA COMISSÃO DE CONSTITUIÇÃO E JUSTIÇA</t>
        </is>
      </c>
      <c r="H136" s="37" t="inlineStr">
        <is>
          <t>20/02/2026</t>
        </is>
      </c>
      <c r="I136" s="14" t="inlineStr">
        <is>
          <t>8ªRE 
16/12/2025</t>
        </is>
      </c>
      <c r="J136" s="9" t="n">
        <v>45881</v>
      </c>
      <c r="K136" s="9" t="n">
        <v>45881</v>
      </c>
      <c r="L136" s="9" t="n">
        <v>45978</v>
      </c>
      <c r="M136" s="9" t="n">
        <v>46076</v>
      </c>
      <c r="N136" s="18" t="n"/>
      <c r="O136" s="10" t="n"/>
      <c r="P136" s="4" t="n"/>
      <c r="Q136" s="4" t="inlineStr">
        <is>
          <t>Não</t>
        </is>
      </c>
      <c r="R136" s="13" t="n"/>
      <c r="S136" s="4" t="n"/>
      <c r="T136" s="4" t="n"/>
      <c r="U136" s="7" t="n"/>
      <c r="V136" s="3" t="inlineStr">
        <is>
          <t>&lt;a href='http://alerjln1.alerj.rj.gov.br/scpro2327.nsf/18c1dd68f96be3e7832566ec0018d833/a6f12487d44d7101032589dc0055ef8f?OpenDocument'&gt; LINK&lt;/a&gt;</t>
        </is>
      </c>
      <c r="W136" s="3">
        <f>RIGHT(C136, 4)</f>
        <v/>
      </c>
      <c r="X136" s="3">
        <f>LEFT(C136, LEN(C136) - 5)</f>
        <v/>
      </c>
    </row>
    <row r="137" ht="60" customHeight="1" s="79">
      <c r="A137" s="2" t="inlineStr">
        <is>
          <t>Projeto Lei</t>
        </is>
      </c>
      <c r="B137" s="4">
        <f>RIGHT(C137,4)</f>
        <v/>
      </c>
      <c r="C137" s="2" t="inlineStr">
        <is>
          <t>1654/2023</t>
        </is>
      </c>
      <c r="D137" s="2" t="inlineStr">
        <is>
          <t>PROÍBE A EXIGÊNCIA DE CARÊNCIA PELAS OPERADORAS DE PLANOS DE SAÚDE A CONSUMIDORES COM TRANSTORNO DO ESPECTRO AUTISTA (TEA).</t>
        </is>
      </c>
      <c r="E137" s="2" t="inlineStr">
        <is>
          <t>FRED PACHECO</t>
        </is>
      </c>
      <c r="F137" s="18" t="inlineStr">
        <is>
          <t>LUIZ PAULO</t>
        </is>
      </c>
      <c r="G137" s="10" t="inlineStr">
        <is>
          <t>FAVORÁVEL COM EMENDA</t>
        </is>
      </c>
      <c r="H137" s="37" t="inlineStr">
        <is>
          <t>20/02/2026</t>
        </is>
      </c>
      <c r="I137" s="14" t="inlineStr">
        <is>
          <t>8ªRE 
16/12/2025</t>
        </is>
      </c>
      <c r="J137" s="9" t="n">
        <v>45881</v>
      </c>
      <c r="K137" s="9" t="n">
        <v>45881</v>
      </c>
      <c r="L137" s="9" t="n">
        <v>45978</v>
      </c>
      <c r="M137" s="9" t="n">
        <v>46076</v>
      </c>
      <c r="N137" s="18" t="n"/>
      <c r="O137" s="10" t="n"/>
      <c r="P137" s="4" t="n"/>
      <c r="Q137" s="4" t="inlineStr">
        <is>
          <t>Não</t>
        </is>
      </c>
      <c r="R137" s="13" t="n"/>
      <c r="S137" s="4" t="n"/>
      <c r="T137" s="4" t="n"/>
      <c r="U137" s="7" t="n"/>
      <c r="V137" s="3" t="inlineStr">
        <is>
          <t>&lt;a href='http://alerjln1.alerj.rj.gov.br/scpro2327.nsf/18c1dd68f96be3e7832566ec0018d833/b3d88e33b22e0a9d03258a000053ca37?OpenDocument'&gt; LINK&lt;/a&gt;</t>
        </is>
      </c>
      <c r="W137" s="3">
        <f>RIGHT(C137, 4)</f>
        <v/>
      </c>
      <c r="X137" s="3">
        <f>LEFT(C137, LEN(C137) - 5)</f>
        <v/>
      </c>
    </row>
    <row r="138" ht="75" customHeight="1" s="79">
      <c r="A138" s="2" t="inlineStr">
        <is>
          <t>Projeto Lei</t>
        </is>
      </c>
      <c r="B138" s="4">
        <f>RIGHT(C138,4)</f>
        <v/>
      </c>
      <c r="C138" s="2" t="inlineStr">
        <is>
          <t>2160/2023</t>
        </is>
      </c>
      <c r="D138" s="2" t="inlineStr">
        <is>
          <t>PROÍBE A INSTALAÇÃO DE CÂMERAS DE SEGURANÇA EM LOCAIS QUE POSSAM CAPTAR INFORMAÇÕES DE CARTÕES, CÓDIGOS VERIFICADORES E SENHAS DOS CONSUMIDORES EM ESTABELECIMENTOS COMERCIAIS, NO ÂMBITO DO ESTADO DO RIO DE JANEIRO.</t>
        </is>
      </c>
      <c r="E138" s="2" t="inlineStr">
        <is>
          <t>JORGE FELIPPE NETO</t>
        </is>
      </c>
      <c r="F138" s="18" t="n"/>
      <c r="G138" s="10" t="n"/>
      <c r="H138" s="37" t="n"/>
      <c r="I138" s="14" t="n"/>
      <c r="J138" s="9" t="n">
        <v>45881</v>
      </c>
      <c r="K138" s="9" t="n">
        <v>45881</v>
      </c>
      <c r="L138" s="9" t="n"/>
      <c r="M138" s="4" t="n"/>
      <c r="N138" s="18" t="n"/>
      <c r="O138" s="10" t="n"/>
      <c r="P138" s="4" t="n"/>
      <c r="Q138" s="4" t="inlineStr">
        <is>
          <t>Sim</t>
        </is>
      </c>
      <c r="R138" s="13" t="inlineStr">
        <is>
          <t>Estava com LUIZ PAULO mas peguei porque o mesmo saiu da Comissão (18/05/2026)</t>
        </is>
      </c>
      <c r="S138" s="4" t="n"/>
      <c r="T138" s="4" t="n"/>
      <c r="U138" s="7" t="n"/>
      <c r="V138" s="3" t="inlineStr">
        <is>
          <t>&lt;a href='http://alerjln1.alerj.rj.gov.br/scpro2327.nsf/18c1dd68f96be3e7832566ec0018d833/d3a06d4f06051dff03258a31005e3cb5?OpenDocument'&gt; LINK&lt;/a&gt;</t>
        </is>
      </c>
      <c r="W138" s="3">
        <f>RIGHT(C138, 4)</f>
        <v/>
      </c>
      <c r="X138" s="3">
        <f>LEFT(C138, LEN(C138) - 5)</f>
        <v/>
      </c>
    </row>
    <row r="139" ht="105" customHeight="1" s="79">
      <c r="A139" s="2" t="inlineStr">
        <is>
          <t>Projeto Lei</t>
        </is>
      </c>
      <c r="B139" s="4">
        <f>RIGHT(C139,4)</f>
        <v/>
      </c>
      <c r="C139" s="2" t="inlineStr">
        <is>
          <t>3232/2024</t>
        </is>
      </c>
      <c r="D139" s="2" t="inlineStr">
        <is>
          <t>OBRIGA AS CONCESSIONÁRIAS PRESTADORAS DE SERVIÇOS PÚBLICOS DE TRANSPORTE DO ESTADO DO RIO DE JANEIRO À CRIAÇÃO DE APLICATIVO MÓVEL COM O OBJETIVO DE FORNECER INFORMAÇÕES EM TEMPO REAL SOBRE OS HORÁRIOS DE TODOS OS MODAIS DE TRANSPORTE DO ESTADO DO RIO DE JANEIRO</t>
        </is>
      </c>
      <c r="E139" s="2" t="inlineStr">
        <is>
          <t>VINICIUS COZZOLINO</t>
        </is>
      </c>
      <c r="F139" s="18" t="inlineStr">
        <is>
          <t>LUIZ PAULO</t>
        </is>
      </c>
      <c r="G139" s="10" t="inlineStr">
        <is>
          <t>FAVORÁVEL COM O SUBSTITUTIVO DA COMISSÃO DE CONSTITUIÇÃO E JUSTIÇA</t>
        </is>
      </c>
      <c r="H139" s="37" t="inlineStr">
        <is>
          <t>20/02/2026</t>
        </is>
      </c>
      <c r="I139" s="14" t="inlineStr">
        <is>
          <t>8ªRE 
16/12/2025</t>
        </is>
      </c>
      <c r="J139" s="9" t="n">
        <v>45881</v>
      </c>
      <c r="K139" s="9" t="n">
        <v>45881</v>
      </c>
      <c r="L139" s="9" t="n">
        <v>45978</v>
      </c>
      <c r="M139" s="9" t="n">
        <v>46076</v>
      </c>
      <c r="N139" s="18" t="n"/>
      <c r="O139" s="10" t="n"/>
      <c r="P139" s="4" t="n"/>
      <c r="Q139" s="4" t="inlineStr">
        <is>
          <t>Não</t>
        </is>
      </c>
      <c r="R139" s="13" t="n"/>
      <c r="S139" s="4" t="n"/>
      <c r="T139" s="4" t="n"/>
      <c r="U139" s="7" t="n"/>
      <c r="V139" s="3" t="inlineStr">
        <is>
          <t>&lt;a href='http://alerjln1.alerj.rj.gov.br/scpro2327.nsf/18c1dd68f96be3e7832566ec0018d833/cb5b31afefb624ce03258ae5005a4581?OpenDocument'&gt; LINK&lt;/a&gt;</t>
        </is>
      </c>
      <c r="W139" s="3">
        <f>RIGHT(C139, 4)</f>
        <v/>
      </c>
      <c r="X139" s="3">
        <f>LEFT(C139, LEN(C139) - 5)</f>
        <v/>
      </c>
    </row>
    <row r="140" ht="75" customHeight="1" s="79">
      <c r="A140" s="2" t="inlineStr">
        <is>
          <t>Projeto Lei</t>
        </is>
      </c>
      <c r="B140" s="4">
        <f>RIGHT(C140,4)</f>
        <v/>
      </c>
      <c r="C140" s="2" t="inlineStr">
        <is>
          <t>2766/2023</t>
        </is>
      </c>
      <c r="D140" s="2" t="inlineStr">
        <is>
          <t>INSTITUI O SELO "ESCOLA QUE VALORIZA  A VIDA" , NO ÂMBITO DO ESTADO DO RIO DE JANEIRO</t>
        </is>
      </c>
      <c r="E140" s="2" t="inlineStr">
        <is>
          <t>GIOVANI RATINHO</t>
        </is>
      </c>
      <c r="F140" s="18" t="inlineStr">
        <is>
          <t>LUIZ PAULO</t>
        </is>
      </c>
      <c r="G140" s="10" t="inlineStr">
        <is>
          <t>FAVORÁVEL COM AS EMENDAS DA COMISSÃO DE CONSTITUIÇÃO E JUSTIÇA</t>
        </is>
      </c>
      <c r="H140" s="37" t="inlineStr">
        <is>
          <t>17/09/2025</t>
        </is>
      </c>
      <c r="I140" s="14" t="inlineStr">
        <is>
          <t>6ªRE
02/09/2025</t>
        </is>
      </c>
      <c r="J140" s="9" t="n">
        <v>45902</v>
      </c>
      <c r="K140" s="4" t="n"/>
      <c r="L140" s="9" t="n">
        <v>45882</v>
      </c>
      <c r="M140" s="4" t="n"/>
      <c r="N140" s="18" t="n"/>
      <c r="O140" s="10" t="n"/>
      <c r="P140" s="4" t="n"/>
      <c r="Q140" s="19" t="inlineStr">
        <is>
          <t>Não</t>
        </is>
      </c>
      <c r="R140" s="13" t="n"/>
      <c r="S140" s="4" t="n"/>
      <c r="T140" s="4" t="n"/>
      <c r="U140" s="7" t="n"/>
      <c r="V140" s="3" t="inlineStr">
        <is>
          <t>&lt;a href='http://alerjln1.alerj.rj.gov.br/scpro2327.nsf/18c1dd68f96be3e7832566ec0018d833/6ec631ccbb85ec3003258a830058bba5?OpenDocument'&gt; LINK&lt;/a&gt;</t>
        </is>
      </c>
      <c r="W140" s="3">
        <f>RIGHT(C140, 4)</f>
        <v/>
      </c>
      <c r="X140" s="3">
        <f>LEFT(C140, LEN(C140) - 5)</f>
        <v/>
      </c>
    </row>
    <row r="141" ht="45" customHeight="1" s="79">
      <c r="A141" s="2" t="inlineStr">
        <is>
          <t>Projeto Lei</t>
        </is>
      </c>
      <c r="B141" s="4">
        <f>RIGHT(C141,4)</f>
        <v/>
      </c>
      <c r="C141" s="2" t="inlineStr">
        <is>
          <t>2786/2020</t>
        </is>
      </c>
      <c r="D141" s="2" t="inlineStr">
        <is>
          <t>DISPÕE SOBRE A CRIAÇÃO DO PROGRAMA DE PROTEÇÃO E CONSERVAÇÃO DAS NASCENTES DE ÁGUA.</t>
        </is>
      </c>
      <c r="E141" s="2" t="inlineStr">
        <is>
          <t>DANNIEL LIBRELON</t>
        </is>
      </c>
      <c r="F141" s="18" t="inlineStr">
        <is>
          <t>LUIZ PAULO</t>
        </is>
      </c>
      <c r="G141" s="10" t="inlineStr">
        <is>
          <t>FAVORÁVEL</t>
        </is>
      </c>
      <c r="H141" s="37" t="inlineStr">
        <is>
          <t>17/09/2025</t>
        </is>
      </c>
      <c r="I141" s="14" t="inlineStr">
        <is>
          <t>6ªRE
02/09/2025</t>
        </is>
      </c>
      <c r="J141" s="9" t="n">
        <v>45902</v>
      </c>
      <c r="K141" s="4" t="n"/>
      <c r="L141" s="9" t="n">
        <v>45882</v>
      </c>
      <c r="M141" s="4" t="n"/>
      <c r="N141" s="18" t="n"/>
      <c r="O141" s="10" t="n"/>
      <c r="P141" s="4" t="n"/>
      <c r="Q141" s="19" t="inlineStr">
        <is>
          <t>Não</t>
        </is>
      </c>
      <c r="R141" s="13" t="n"/>
      <c r="S141" s="4" t="n"/>
      <c r="T141" s="4" t="n"/>
      <c r="U141" s="7" t="n"/>
      <c r="V141" s="3" t="inlineStr">
        <is>
          <t>&lt;a href='http://alerjln1.alerj.rj.gov.br/scpro1923.nsf/18c1dd68f96be3e7832566ec0018d833/5e641e8f54aa82070325859100540133?OpenDocument'&gt; LINK&lt;/a&gt;</t>
        </is>
      </c>
      <c r="W141" s="3">
        <f>RIGHT(C141, 4)</f>
        <v/>
      </c>
      <c r="X141" s="3">
        <f>LEFT(C141, LEN(C141) - 5)</f>
        <v/>
      </c>
    </row>
    <row r="142" ht="75" customHeight="1" s="79">
      <c r="A142" s="2" t="inlineStr">
        <is>
          <t>Projeto Lei</t>
        </is>
      </c>
      <c r="B142" s="4">
        <f>RIGHT(C142,4)</f>
        <v/>
      </c>
      <c r="C142" s="2" t="inlineStr">
        <is>
          <t>EP 489/2019</t>
        </is>
      </c>
      <c r="D142" s="2" t="inlineStr">
        <is>
          <t>CRIA O ÍNDICE DE SEGURANÇA DAS ESCOLAS DA REDE DE ENSINO PÚBLICO DO ESTADO DO RIO DE JANEIRO.</t>
        </is>
      </c>
      <c r="E142" s="2" t="inlineStr">
        <is>
          <t>CARLO CAIADO</t>
        </is>
      </c>
      <c r="F142" s="18" t="inlineStr">
        <is>
          <t>LUIZ PAULO</t>
        </is>
      </c>
      <c r="G142" s="10" t="inlineStr">
        <is>
          <t>FAVORÁVEL, COM O SUBSTITUTIVO DA COMISSÃO DE CONSTITUIÇÃO E JUSTIÇA</t>
        </is>
      </c>
      <c r="H142" s="37" t="inlineStr">
        <is>
          <t>18/09/2025</t>
        </is>
      </c>
      <c r="I142" s="14" t="inlineStr">
        <is>
          <t>6ªRE
02/09/2025</t>
        </is>
      </c>
      <c r="J142" s="9" t="n"/>
      <c r="K142" s="4" t="n"/>
      <c r="L142" s="9" t="n">
        <v>45882</v>
      </c>
      <c r="M142" s="4" t="n"/>
      <c r="N142" s="18" t="n"/>
      <c r="O142" s="10" t="n"/>
      <c r="P142" s="4" t="n"/>
      <c r="Q142" s="19" t="inlineStr">
        <is>
          <t>Não</t>
        </is>
      </c>
      <c r="R142" s="13" t="n"/>
      <c r="S142" s="4" t="n"/>
      <c r="T142" s="4" t="n"/>
      <c r="U142" s="7" t="n"/>
      <c r="V142" s="3" t="inlineStr">
        <is>
          <t>&lt;a href='http://alerjln1.alerj.rj.gov.br/scpro1923.nsf/18c1dd68f96be3e7832566ec0018d833/9dbd3ec60ca373a5832583f2007226fd?OpenDocument'&gt; LINK&lt;/a&gt;</t>
        </is>
      </c>
      <c r="W142" s="3">
        <f>RIGHT(C142, 4)</f>
        <v/>
      </c>
      <c r="X142" s="3">
        <f>LEFT(C142, LEN(C142) - 5)</f>
        <v/>
      </c>
    </row>
    <row r="143" ht="90" customHeight="1" s="79">
      <c r="A143" s="2" t="inlineStr">
        <is>
          <t>Projeto Lei</t>
        </is>
      </c>
      <c r="B143" s="4">
        <f>RIGHT(C143,4)</f>
        <v/>
      </c>
      <c r="C143" s="2" t="inlineStr">
        <is>
          <t>323/2019</t>
        </is>
      </c>
      <c r="D143" s="2" t="inlineStr">
        <is>
          <t>DISPÕE SOBRE A OBRIGATORIEDADE DE DISPONIBILIZAÇÃO E MANUTENÇÃO DE DESFIBRILADOR CARDÍACO EXTERNO AUTOMÁTICO (DEA), NAS AMBULÂNCIAS DO TIPO "B", "C" E "D", UTILIZADAS NA REDE PÚBLICA E PRIVADA DE SAÚDE DO ESTADO DO RIO DE JANEIRO.</t>
        </is>
      </c>
      <c r="E143" s="2" t="inlineStr">
        <is>
          <t>MÁRCIO CANELLA</t>
        </is>
      </c>
      <c r="F143" s="18" t="inlineStr">
        <is>
          <t>LUIZ PAULO</t>
        </is>
      </c>
      <c r="G143" s="10" t="inlineStr">
        <is>
          <t>FAVORÁVEL</t>
        </is>
      </c>
      <c r="H143" s="37" t="inlineStr">
        <is>
          <t>18/09/2025</t>
        </is>
      </c>
      <c r="I143" s="14" t="inlineStr">
        <is>
          <t>6ªRE
02/09/2025</t>
        </is>
      </c>
      <c r="J143" s="9" t="n">
        <v>45902</v>
      </c>
      <c r="K143" s="4" t="n"/>
      <c r="L143" s="9" t="n">
        <v>45882</v>
      </c>
      <c r="M143" s="4" t="n"/>
      <c r="N143" s="18" t="n"/>
      <c r="O143" s="10" t="n"/>
      <c r="P143" s="4" t="n"/>
      <c r="Q143" s="19" t="inlineStr">
        <is>
          <t>Não</t>
        </is>
      </c>
      <c r="R143" s="13" t="n"/>
      <c r="S143" s="4" t="n"/>
      <c r="T143" s="4" t="n"/>
      <c r="U143" s="7" t="n"/>
      <c r="V143" s="3" t="inlineStr">
        <is>
          <t>&lt;a href='http://alerjln1.alerj.rj.gov.br/scpro1923.nsf/18c1dd68f96be3e7832566ec0018d833/cb7d5bcbc591b78e832583ca0060d1ab?OpenDocument'&gt; LINK&lt;/a&gt;</t>
        </is>
      </c>
      <c r="W143" s="3">
        <f>RIGHT(C143, 4)</f>
        <v/>
      </c>
      <c r="X143" s="3">
        <f>LEFT(C143, LEN(C143) - 5)</f>
        <v/>
      </c>
    </row>
    <row r="144" ht="60" customHeight="1" s="79">
      <c r="A144" s="2" t="inlineStr">
        <is>
          <t>Projeto Lei</t>
        </is>
      </c>
      <c r="B144" s="4">
        <f>RIGHT(C144,4)</f>
        <v/>
      </c>
      <c r="C144" s="2" t="inlineStr">
        <is>
          <t>759/2023</t>
        </is>
      </c>
      <c r="D144" s="2" t="inlineStr">
        <is>
          <t>CRIA PROGRAMA PARA PROTEÇÃO DE MÃES, PAIS E RESPONSÁVEIS PELAS PESSOAS COM TRANSTORNO DO ESPECTRO AUTISTA (TEA) E DÁ OUTRAS PROVIDÊNCIAS</t>
        </is>
      </c>
      <c r="E144" s="2" t="inlineStr">
        <is>
          <t>ELTON CRISTO</t>
        </is>
      </c>
      <c r="F144" s="18" t="inlineStr">
        <is>
          <t>LUIZ PAULO</t>
        </is>
      </c>
      <c r="G144" s="10" t="inlineStr">
        <is>
          <t>FAVORÁVEL</t>
        </is>
      </c>
      <c r="H144" s="37" t="inlineStr">
        <is>
          <t>18/09/2025</t>
        </is>
      </c>
      <c r="I144" s="14" t="inlineStr">
        <is>
          <t>6ªRE
02/09/2025</t>
        </is>
      </c>
      <c r="J144" s="9" t="n">
        <v>45902</v>
      </c>
      <c r="K144" s="9" t="n"/>
      <c r="L144" s="9" t="n">
        <v>45882</v>
      </c>
      <c r="M144" s="9" t="n"/>
      <c r="N144" s="18" t="n"/>
      <c r="O144" s="10" t="n"/>
      <c r="P144" s="9" t="n"/>
      <c r="Q144" s="19" t="inlineStr">
        <is>
          <t>Não</t>
        </is>
      </c>
      <c r="R144" s="13" t="n"/>
      <c r="S144" s="4" t="n"/>
      <c r="T144" s="4" t="n"/>
      <c r="U144" s="7" t="n"/>
      <c r="V144" s="3" t="inlineStr">
        <is>
          <t>&lt;a href='http://alerjln1.alerj.rj.gov.br/scpro2327.nsf/18c1dd68f96be3e7832566ec0018d833/5bce7cf77e72733c032589900059e367?OpenDocument'&gt; LINK&lt;/a&gt;</t>
        </is>
      </c>
      <c r="W144" s="3">
        <f>RIGHT(C144, 4)</f>
        <v/>
      </c>
      <c r="X144" s="3">
        <f>LEFT(C144, LEN(C144) - 5)</f>
        <v/>
      </c>
    </row>
    <row r="145" ht="30" customHeight="1" s="79">
      <c r="A145" s="2" t="inlineStr">
        <is>
          <t>Projeto Lei</t>
        </is>
      </c>
      <c r="B145" s="4">
        <f>RIGHT(C145,4)</f>
        <v/>
      </c>
      <c r="C145" s="2" t="inlineStr">
        <is>
          <t>2632/2023</t>
        </is>
      </c>
      <c r="D145" s="2" t="inlineStr">
        <is>
          <t>DISPÕE SOBRE A CRIAÇÃO DA CAMPANHA DE CONSCIENTIZAÇÃO SOBRE A SAÚDE DOS PÉS.</t>
        </is>
      </c>
      <c r="E145" s="2" t="inlineStr">
        <is>
          <t>VALDECY DA SAUDE</t>
        </is>
      </c>
      <c r="F145" s="18" t="inlineStr">
        <is>
          <t>LUIZ PAULO</t>
        </is>
      </c>
      <c r="G145" s="10" t="inlineStr">
        <is>
          <t>FAVORÁVEL</t>
        </is>
      </c>
      <c r="H145" s="37" t="inlineStr">
        <is>
          <t>17/09/2025</t>
        </is>
      </c>
      <c r="I145" s="14" t="inlineStr">
        <is>
          <t>6ªRE
02/09/2025</t>
        </is>
      </c>
      <c r="J145" s="9" t="n">
        <v>45902</v>
      </c>
      <c r="K145" s="9" t="n"/>
      <c r="L145" s="9" t="n">
        <v>45882</v>
      </c>
      <c r="M145" s="9" t="n"/>
      <c r="N145" s="18" t="n"/>
      <c r="O145" s="10" t="n"/>
      <c r="P145" s="9" t="n"/>
      <c r="Q145" s="19" t="inlineStr">
        <is>
          <t>Não</t>
        </is>
      </c>
      <c r="R145" s="2" t="n"/>
      <c r="S145" s="4" t="n"/>
      <c r="T145" s="4" t="n"/>
      <c r="U145" s="7" t="n"/>
      <c r="V145" s="3" t="inlineStr">
        <is>
          <t>&lt;a href='http://alerjln1.alerj.rj.gov.br/scpro2327.nsf/18c1dd68f96be3e7832566ec0018d833/abe1c7d67ed2aa4b03258a6900539ca1?OpenDocument'&gt; LINK&lt;/a&gt;</t>
        </is>
      </c>
      <c r="W145" s="3">
        <f>RIGHT(C145, 4)</f>
        <v/>
      </c>
      <c r="X145" s="3">
        <f>LEFT(C145, LEN(C145) - 5)</f>
        <v/>
      </c>
    </row>
    <row r="146" ht="75" customHeight="1" s="79">
      <c r="A146" s="2" t="inlineStr">
        <is>
          <t>Projeto Lei</t>
        </is>
      </c>
      <c r="B146" s="4">
        <f>RIGHT(C146,4)</f>
        <v/>
      </c>
      <c r="C146" s="2" t="inlineStr">
        <is>
          <t>2768/2023</t>
        </is>
      </c>
      <c r="D146" s="2" t="inlineStr">
        <is>
          <t>DISPÕE SOBRE RESPONSABILIDADE PELAS DESPESAS COM O TRATAMENTO MÉDICO HOSPITALAR DA VÍTIMA DE CRIME DOLOSO, AINDA QUE TENTADO, NO ÂMBITO DO ESTADO DE RIO DE JANEIRO, E DÁ OUTRAS PROVIDÊNCIAS</t>
        </is>
      </c>
      <c r="E146" s="2" t="inlineStr">
        <is>
          <t>ELTON CRISTO</t>
        </is>
      </c>
      <c r="F146" s="18" t="inlineStr">
        <is>
          <t>LUIZ PAULO</t>
        </is>
      </c>
      <c r="G146" s="10" t="inlineStr">
        <is>
          <t>FAVORÁVEL, COM EMENDA</t>
        </is>
      </c>
      <c r="H146" s="37" t="inlineStr">
        <is>
          <t>07/01/2026</t>
        </is>
      </c>
      <c r="I146" s="14" t="inlineStr">
        <is>
          <t>8ªRE 
16/12/2025</t>
        </is>
      </c>
      <c r="J146" s="9" t="n">
        <v>45902</v>
      </c>
      <c r="K146" s="4" t="n"/>
      <c r="L146" s="17" t="n">
        <v>45882</v>
      </c>
      <c r="M146" s="9" t="n">
        <v>46065</v>
      </c>
      <c r="N146" s="18" t="inlineStr">
        <is>
          <t>CÉLIA JORDÃO</t>
        </is>
      </c>
      <c r="O146" s="10" t="inlineStr">
        <is>
          <t>FAVORÁVEL, COM EMENDA</t>
        </is>
      </c>
      <c r="P146" s="9" t="n">
        <v>45953</v>
      </c>
      <c r="Q146" s="12" t="inlineStr">
        <is>
          <t>Não</t>
        </is>
      </c>
      <c r="R146" s="13" t="inlineStr">
        <is>
          <t>VISTA DE CÉLIA JORDÃO EM 02-SET
NA reunião, do dia 16-12, o Relator acatou a emenda da Dep. Célia</t>
        </is>
      </c>
      <c r="S146" s="4" t="n"/>
      <c r="T146" s="4" t="n"/>
      <c r="U146" s="7" t="n"/>
      <c r="V146" s="3" t="inlineStr">
        <is>
          <t>&lt;a href='http://alerjln1.alerj.rj.gov.br/scpro2327.nsf/18c1dd68f96be3e7832566ec0018d833/41f53da7d07ce0b103258a830066d18a?OpenDocument'&gt; LINK&lt;/a&gt;</t>
        </is>
      </c>
      <c r="W146" s="3">
        <f>RIGHT(C146, 4)</f>
        <v/>
      </c>
      <c r="X146" s="3">
        <f>LEFT(C146, LEN(C146) - 5)</f>
        <v/>
      </c>
    </row>
    <row r="147" ht="30" customHeight="1" s="79">
      <c r="A147" s="2" t="inlineStr">
        <is>
          <t>Projeto Lei</t>
        </is>
      </c>
      <c r="B147" s="4">
        <f>RIGHT(C147,4)</f>
        <v/>
      </c>
      <c r="C147" s="2" t="inlineStr">
        <is>
          <t>2874/2024</t>
        </is>
      </c>
      <c r="D147" s="2" t="inlineStr">
        <is>
          <t>ESTABELECE PRIORIDADE NA REMOÇÃO DE PACIENTES PARA HOSPITAIS DO ESTADO DO RIO DE JANEIRO</t>
        </is>
      </c>
      <c r="E147" s="2" t="inlineStr">
        <is>
          <t>MARTHA ROCHA</t>
        </is>
      </c>
      <c r="F147" s="18" t="inlineStr">
        <is>
          <t>LUIZ PAULO</t>
        </is>
      </c>
      <c r="G147" s="10" t="inlineStr">
        <is>
          <t>FAVORÁVEL</t>
        </is>
      </c>
      <c r="H147" s="37" t="inlineStr">
        <is>
          <t>17/09/2025</t>
        </is>
      </c>
      <c r="I147" s="14" t="inlineStr">
        <is>
          <t>6ªRE
02/09/2025</t>
        </is>
      </c>
      <c r="J147" s="9" t="n"/>
      <c r="K147" s="4" t="n"/>
      <c r="L147" s="9" t="n">
        <v>45882</v>
      </c>
      <c r="M147" s="4" t="n"/>
      <c r="N147" s="18" t="n"/>
      <c r="O147" s="10" t="n"/>
      <c r="P147" s="4" t="n"/>
      <c r="Q147" s="19" t="inlineStr">
        <is>
          <t>Não</t>
        </is>
      </c>
      <c r="R147" s="13" t="n"/>
      <c r="S147" s="4" t="n"/>
      <c r="T147" s="4" t="n"/>
      <c r="U147" s="7" t="n"/>
      <c r="V147" s="3" t="inlineStr">
        <is>
          <t>&lt;a href='http://alerjln1.alerj.rj.gov.br/scpro2327.nsf/18c1dd68f96be3e7832566ec0018d833/fe73056181f255c903258aba00500742?OpenDocument'&gt; LINK&lt;/a&gt;</t>
        </is>
      </c>
      <c r="W147" s="3">
        <f>RIGHT(C147, 4)</f>
        <v/>
      </c>
      <c r="X147" s="3">
        <f>LEFT(C147, LEN(C147) - 5)</f>
        <v/>
      </c>
    </row>
    <row r="148" ht="60" customHeight="1" s="79">
      <c r="A148" s="2" t="inlineStr">
        <is>
          <t>Projeto Lei</t>
        </is>
      </c>
      <c r="B148" s="4">
        <f>RIGHT(C148,4)</f>
        <v/>
      </c>
      <c r="C148" s="2" t="inlineStr">
        <is>
          <t>2696/2023</t>
        </is>
      </c>
      <c r="D148" s="2" t="inlineStr">
        <is>
          <t>AUTORIZA O PODER EXECUTIVO A INSTITUIR UMA CAMPANHA DE CONSCIENTIZAÇÃO PARA O COMBATE E PREVENÇÃO DE ACIDENTES CAUSADOS POR RAIOS NO ESTADO DO RIO DE JANEIRO</t>
        </is>
      </c>
      <c r="E148" s="2" t="inlineStr">
        <is>
          <t>ELIKA TAKIMOTO</t>
        </is>
      </c>
      <c r="F148" s="18" t="inlineStr">
        <is>
          <t>LUIZ PAULO</t>
        </is>
      </c>
      <c r="G148" s="10" t="inlineStr">
        <is>
          <t>FAVORÁVEL</t>
        </is>
      </c>
      <c r="H148" s="37" t="inlineStr">
        <is>
          <t>17/09/2025</t>
        </is>
      </c>
      <c r="I148" s="14" t="inlineStr">
        <is>
          <t>6ªRE
02/09/2025</t>
        </is>
      </c>
      <c r="J148" s="9" t="n">
        <v>45902</v>
      </c>
      <c r="K148" s="4" t="n"/>
      <c r="L148" s="9" t="n">
        <v>45882</v>
      </c>
      <c r="M148" s="4" t="n"/>
      <c r="N148" s="18" t="n"/>
      <c r="O148" s="10" t="n"/>
      <c r="P148" s="4" t="n"/>
      <c r="Q148" s="19" t="inlineStr">
        <is>
          <t>Não</t>
        </is>
      </c>
      <c r="R148" s="13" t="n"/>
      <c r="S148" s="4" t="n"/>
      <c r="T148" s="4" t="n"/>
      <c r="U148" s="7" t="n"/>
      <c r="V148" s="3" t="inlineStr">
        <is>
          <t>&lt;a href='http://alerjln1.alerj.rj.gov.br/scpro2327.nsf/18c1dd68f96be3e7832566ec0018d833/7e878e5d5f38832103258a770050fdb5?OpenDocument'&gt; LINK&lt;/a&gt;</t>
        </is>
      </c>
      <c r="W148" s="3">
        <f>RIGHT(C148, 4)</f>
        <v/>
      </c>
      <c r="X148" s="3">
        <f>LEFT(C148, LEN(C148) - 5)</f>
        <v/>
      </c>
    </row>
    <row r="149" ht="75" customHeight="1" s="79">
      <c r="A149" s="2" t="inlineStr">
        <is>
          <t>Projeto Lei</t>
        </is>
      </c>
      <c r="B149" s="4">
        <f>RIGHT(C149,4)</f>
        <v/>
      </c>
      <c r="C149" s="2" t="inlineStr">
        <is>
          <t>905/2023</t>
        </is>
      </c>
      <c r="D149" s="2" t="inlineStr">
        <is>
          <t>DETERMINA A DISPONIBILIZAÇÃO DE LEITOS APROPRIADOS PARA PESSOAS COM DEFICIÊNCIA DE LOCOMOÇÃO OU MOBILIDADE REDUZIDA EM HOTÉIS, ALBERGUES, POUSADAS E ASSEMELHADOS E DÁ OUTRAS PROVIDÊNCIAS.</t>
        </is>
      </c>
      <c r="E149" s="2" t="inlineStr">
        <is>
          <t>VINICIUS COZZOLINO</t>
        </is>
      </c>
      <c r="F149" s="18" t="inlineStr">
        <is>
          <t>RENATO MIRANDA</t>
        </is>
      </c>
      <c r="G149" s="10" t="inlineStr">
        <is>
          <t>FAVORÁVEL</t>
        </is>
      </c>
      <c r="H149" s="37" t="inlineStr">
        <is>
          <t>11/02/2026</t>
        </is>
      </c>
      <c r="I149" s="14" t="inlineStr">
        <is>
          <t>8ªRE 
16/12/2025</t>
        </is>
      </c>
      <c r="J149" s="9" t="n">
        <v>45881</v>
      </c>
      <c r="K149" s="9" t="n">
        <v>45923</v>
      </c>
      <c r="L149" s="9" t="n">
        <v>45931</v>
      </c>
      <c r="M149" s="9" t="n">
        <v>46065</v>
      </c>
      <c r="N149" s="18" t="n"/>
      <c r="O149" s="10" t="n"/>
      <c r="P149" s="4" t="n"/>
      <c r="Q149" s="4" t="inlineStr">
        <is>
          <t>Não</t>
        </is>
      </c>
      <c r="R149" s="13" t="inlineStr">
        <is>
          <t>Estava com Carlos Macedo e foi encaminado ao Renato Miranda em 23.09.2025</t>
        </is>
      </c>
      <c r="S149" s="4" t="n"/>
      <c r="T149" s="4" t="n"/>
      <c r="U149" s="7" t="n"/>
      <c r="V149" s="3" t="inlineStr">
        <is>
          <t>&lt;a href='http://alerjln1.alerj.rj.gov.br/scpro2327.nsf/18c1dd68f96be3e7832566ec0018d833/c3780f644d5931fb0325899b0052d4d4?OpenDocument'&gt; LINK&lt;/a&gt;</t>
        </is>
      </c>
      <c r="W149" s="3">
        <f>RIGHT(C149, 4)</f>
        <v/>
      </c>
      <c r="X149" s="3">
        <f>LEFT(C149, LEN(C149) - 5)</f>
        <v/>
      </c>
    </row>
    <row r="150" ht="90" customHeight="1" s="79">
      <c r="A150" s="2" t="inlineStr">
        <is>
          <t>Projeto Lei</t>
        </is>
      </c>
      <c r="B150" s="4">
        <f>RIGHT(C150,4)</f>
        <v/>
      </c>
      <c r="C150" s="2" t="inlineStr">
        <is>
          <t>1671/2019</t>
        </is>
      </c>
      <c r="D150" s="2" t="inlineStr">
        <is>
          <t>AUTORIZA O PODER EXECUTIVO A INTITUIR O SISTEMA DE BOLSA DE ESTUDO PARA OS DEPENDENTES DOS POLICIAIS E BOMBEIROS MILITARES FALECIDOS NO EXERCÍCIO DE SUA ATIVIDADE FUNCIONAL, NO ÂMBITO DO ESTADO DO RIO DE JANEIRO, NA FORMA QUE MENCIONA</t>
        </is>
      </c>
      <c r="E150" s="2" t="inlineStr">
        <is>
          <t>BRAZÃO,ANDRÉ CECILIANO,RODRIGO BACELLAR,ROSENVERG REIS</t>
        </is>
      </c>
      <c r="F150" s="18" t="inlineStr">
        <is>
          <t>ANDRÉ CORRÊA</t>
        </is>
      </c>
      <c r="G150" s="10" t="inlineStr">
        <is>
          <t>Sim</t>
        </is>
      </c>
      <c r="H150" s="37" t="n"/>
      <c r="I150" s="14" t="inlineStr">
        <is>
          <t>8ªRE
12/11/2024</t>
        </is>
      </c>
      <c r="J150" s="9" t="n"/>
      <c r="K150" s="4" t="n"/>
      <c r="L150" s="9" t="n"/>
      <c r="M150" s="4" t="n"/>
      <c r="N150" s="18" t="n"/>
      <c r="O150" s="10" t="n"/>
      <c r="P150" s="4" t="n"/>
      <c r="Q150" s="4" t="inlineStr">
        <is>
          <t>Não</t>
        </is>
      </c>
      <c r="R150" s="13" t="inlineStr">
        <is>
          <t>Estava "perdido" no gabinete e foi Devolvido a Sandra em 21/08/2025 já com a conclusão e parecer refeitos para prosseguimento de retorno à CCJ por ter emendas</t>
        </is>
      </c>
      <c r="S150" s="4" t="n"/>
      <c r="T150" s="4" t="n"/>
      <c r="U150" s="7" t="n"/>
      <c r="V150" s="3" t="inlineStr">
        <is>
          <t>&lt;a href='http://alerjln1.alerj.rj.gov.br/scpro1923.nsf/18c1dd68f96be3e7832566ec0018d833/93b82a94202b4d68032584be0063bdda?OpenDocument'&gt; LINK&lt;/a&gt;</t>
        </is>
      </c>
      <c r="W150" s="3">
        <f>RIGHT(C150, 4)</f>
        <v/>
      </c>
      <c r="X150" s="3">
        <f>LEFT(C150, LEN(C150) - 5)</f>
        <v/>
      </c>
    </row>
    <row r="151" ht="45" customHeight="1" s="79">
      <c r="A151" s="2" t="inlineStr">
        <is>
          <t>Projeto Lei</t>
        </is>
      </c>
      <c r="B151" s="4">
        <f>RIGHT(C151,4)</f>
        <v/>
      </c>
      <c r="C151" s="2" t="inlineStr">
        <is>
          <t>12/2023</t>
        </is>
      </c>
      <c r="D151" s="2" t="inlineStr">
        <is>
          <t>INSTITUI O FUNDO ESTADUAL DE EDUCAÇÃO NO ÂMBITO DO ESTADO DO RIO DE JANEIRO.</t>
        </is>
      </c>
      <c r="E151" s="2" t="inlineStr">
        <is>
          <t>ROSENVERG REIS</t>
        </is>
      </c>
      <c r="F151" s="18" t="n"/>
      <c r="G151" s="10" t="n"/>
      <c r="H151" s="37" t="n"/>
      <c r="I151" s="14" t="n"/>
      <c r="J151" s="9" t="n"/>
      <c r="K151" s="4" t="n"/>
      <c r="L151" s="9" t="n"/>
      <c r="M151" s="4" t="n"/>
      <c r="N151" s="18" t="n"/>
      <c r="O151" s="10" t="n"/>
      <c r="P151" s="4" t="n"/>
      <c r="Q151" s="4" t="n"/>
      <c r="R151" s="13" t="inlineStr">
        <is>
          <t>Estava com LUIZ PAULO mas peguei porque o mesmo saiu da Comissão (18/05/2026)</t>
        </is>
      </c>
      <c r="S151" s="4" t="n"/>
      <c r="T151" s="4" t="n"/>
      <c r="U151" s="7" t="n"/>
      <c r="V151" s="3" t="inlineStr">
        <is>
          <t>&lt;a href='http://alerjln1.alerj.rj.gov.br/scpro2327.nsf/18c1dd68f96be3e7832566ec0018d833/f707fdabd63d32fa0325894a006d93c8?OpenDocument'&gt; LINK&lt;/a&gt;</t>
        </is>
      </c>
      <c r="W151" s="3">
        <f>RIGHT(C151, 4)</f>
        <v/>
      </c>
      <c r="X151" s="3">
        <f>LEFT(C151, LEN(C151) - 5)</f>
        <v/>
      </c>
    </row>
    <row r="152" ht="30" customHeight="1" s="79">
      <c r="A152" s="2" t="inlineStr">
        <is>
          <t>Projeto Lei</t>
        </is>
      </c>
      <c r="B152" s="4">
        <f>RIGHT(C152,4)</f>
        <v/>
      </c>
      <c r="C152" s="73" t="inlineStr">
        <is>
          <t>5637/2022</t>
        </is>
      </c>
      <c r="D152" s="2" t="inlineStr">
        <is>
          <t>CLASSIFICA A LAGOA DE ARARUAMA COMO PARAÍSO DO KITESURF NO ESTADO DO RIO DE JANEIRO.</t>
        </is>
      </c>
      <c r="E152" s="2" t="inlineStr">
        <is>
          <t>DR DEODALTO</t>
        </is>
      </c>
      <c r="F152" s="18" t="inlineStr">
        <is>
          <t>CARLOS MACEDO</t>
        </is>
      </c>
      <c r="G152" s="10" t="inlineStr">
        <is>
          <t>FAVORÁVEL</t>
        </is>
      </c>
      <c r="H152" s="37" t="inlineStr">
        <is>
          <t>11/02/2026</t>
        </is>
      </c>
      <c r="I152" s="14" t="inlineStr">
        <is>
          <t>8ªRE 
16/12/2025</t>
        </is>
      </c>
      <c r="J152" s="9" t="n">
        <v>45902</v>
      </c>
      <c r="K152" s="4" t="n"/>
      <c r="L152" s="17" t="n">
        <v>45881</v>
      </c>
      <c r="M152" s="9" t="n">
        <v>46099</v>
      </c>
      <c r="N152" s="18" t="inlineStr">
        <is>
          <t>CÉLIA JORDÃO</t>
        </is>
      </c>
      <c r="O152" s="10" t="inlineStr">
        <is>
          <t>FAVORÁVEL, COM EMENDA</t>
        </is>
      </c>
      <c r="P152" s="9" t="n">
        <v>45953</v>
      </c>
      <c r="Q152" s="12" t="inlineStr">
        <is>
          <t>Não</t>
        </is>
      </c>
      <c r="R152" s="13" t="inlineStr">
        <is>
          <t>VISTA DE CÉLIA JORDÃO EM 02-SET
APROVADO O VOTO DO VENCIDO</t>
        </is>
      </c>
      <c r="S152" s="4" t="n"/>
      <c r="T152" s="4" t="n"/>
      <c r="U152" s="7" t="n"/>
      <c r="V152" s="3" t="inlineStr">
        <is>
          <t>http://alerjln1.alerj.rj.gov.br/scpro1923.nsf/18c1dd68f96be3e7832566ec0018d833/c82e4540195568440325880c00494277?OpenDocument</t>
        </is>
      </c>
      <c r="W152" s="3">
        <f>RIGHT(C152, 4)</f>
        <v/>
      </c>
      <c r="X152" s="3">
        <f>LEFT(C152, LEN(C152) - 5)</f>
        <v/>
      </c>
    </row>
    <row r="153" ht="60" customHeight="1" s="79">
      <c r="A153" s="2" t="inlineStr">
        <is>
          <t>Projeto Lei</t>
        </is>
      </c>
      <c r="B153" s="4">
        <f>RIGHT(C153,4)</f>
        <v/>
      </c>
      <c r="C153" s="73" t="inlineStr">
        <is>
          <t>EP 1214/2023</t>
        </is>
      </c>
      <c r="D153" s="2" t="inlineStr">
        <is>
          <t>DISPÕE SOBRE A CRIAÇÃO DA CAMPANHA "PÉ NA FAIXA, PEDESTRE SEGURO" PARA CONSCIENTIZAÇÃO DOS PEDESTRES E MOTORISTAS E DÁ OUTRAS PROVIDENCIAS.</t>
        </is>
      </c>
      <c r="E153" s="2" t="inlineStr">
        <is>
          <t>INDIA ARMELAU, Filippe Poubel</t>
        </is>
      </c>
      <c r="F153" s="18" t="inlineStr">
        <is>
          <t>CARLOS MACEDO</t>
        </is>
      </c>
      <c r="G153" s="10" t="inlineStr">
        <is>
          <t>FAVORÁVEL ÀS EMENDAS Nº 01, 02 e 03</t>
        </is>
      </c>
      <c r="H153" s="37" t="inlineStr">
        <is>
          <t>24/09/2025</t>
        </is>
      </c>
      <c r="I153" s="14" t="inlineStr">
        <is>
          <t>6ªRE
02/09/2025</t>
        </is>
      </c>
      <c r="J153" s="9" t="n">
        <v>45902</v>
      </c>
      <c r="K153" s="4" t="n"/>
      <c r="L153" s="9" t="n">
        <v>45881</v>
      </c>
      <c r="M153" s="4" t="n"/>
      <c r="N153" s="18" t="n"/>
      <c r="O153" s="10" t="n"/>
      <c r="P153" s="4" t="n"/>
      <c r="Q153" s="4" t="inlineStr">
        <is>
          <t>Não</t>
        </is>
      </c>
      <c r="R153" s="13" t="inlineStr">
        <is>
          <t>publicado em 22/09/2025 e republicado no dia 24/09/2025</t>
        </is>
      </c>
      <c r="S153" s="4" t="n"/>
      <c r="T153" s="4" t="n"/>
      <c r="U153" s="7" t="n"/>
      <c r="V153" s="3" t="inlineStr">
        <is>
          <t>&lt;a href='http://alerjln1.alerj.rj.gov.br/scpro2327.nsf/18c1dd68f96be3e7832566ec0018d833/9e9a4bc481e1714a032589b1004bfa8e?OpenDocument'&gt; LINK&lt;/a&gt;</t>
        </is>
      </c>
      <c r="W153" s="3">
        <f>RIGHT(C153, 4)</f>
        <v/>
      </c>
      <c r="X153" s="3">
        <f>LEFT(C153, LEN(C153) - 5)</f>
        <v/>
      </c>
    </row>
    <row r="154" ht="75" customHeight="1" s="79">
      <c r="A154" s="2" t="inlineStr">
        <is>
          <t>Projeto Lei</t>
        </is>
      </c>
      <c r="B154" s="4">
        <f>RIGHT(C154,4)</f>
        <v/>
      </c>
      <c r="C154" s="2" t="inlineStr">
        <is>
          <t>4743/2021</t>
        </is>
      </c>
      <c r="D154" s="2" t="inlineStr">
        <is>
          <t>DISPÕE SOBRE A ISENÇÃO DE TRIBUTOS ESTADUAIS PARA AQUISIÇÃO DE EQUIPAMENTOS DOMICILIARES QUE AUXILIEM A ACESSIBILIDADE PARA AS PESSOAS COM DEFICIÊNCIAS</t>
        </is>
      </c>
      <c r="E154" s="2" t="inlineStr">
        <is>
          <t>MARCELO DINO</t>
        </is>
      </c>
      <c r="F154" s="18" t="inlineStr">
        <is>
          <t>CARLOS MACEDO</t>
        </is>
      </c>
      <c r="G154" s="10" t="inlineStr">
        <is>
          <t>FAVORÁVEL COM AS EMENDAS DA COMISSÃO DE CONSTITUIÇÃO E JUSTIÇA</t>
        </is>
      </c>
      <c r="H154" s="37" t="inlineStr">
        <is>
          <t>19/09/2025</t>
        </is>
      </c>
      <c r="I154" s="14" t="inlineStr">
        <is>
          <t>6ªRE
02/09/2025</t>
        </is>
      </c>
      <c r="J154" s="9" t="n">
        <v>45902</v>
      </c>
      <c r="K154" s="4" t="n"/>
      <c r="L154" s="9" t="n">
        <v>45881</v>
      </c>
      <c r="M154" s="4" t="n"/>
      <c r="N154" s="18" t="n"/>
      <c r="O154" s="10" t="n"/>
      <c r="P154" s="4" t="n"/>
      <c r="Q154" s="4" t="inlineStr">
        <is>
          <t>Não</t>
        </is>
      </c>
      <c r="R154" s="13" t="n"/>
      <c r="S154" s="4" t="n"/>
      <c r="T154" s="4" t="n"/>
      <c r="U154" s="7" t="n"/>
      <c r="V154" s="3" t="inlineStr">
        <is>
          <t>&lt;a href='http://alerjln1.alerj.rj.gov.br/scpro1923.nsf/18c1dd68f96be3e7832566ec0018d833/0dff5ddc3ca6bfaa03258742005b5293?OpenDocument'&gt; LINK&lt;/a&gt;</t>
        </is>
      </c>
      <c r="W154" s="3">
        <f>RIGHT(C154, 4)</f>
        <v/>
      </c>
      <c r="X154" s="3">
        <f>LEFT(C154, LEN(C154) - 5)</f>
        <v/>
      </c>
    </row>
    <row r="155" ht="75" customHeight="1" s="79">
      <c r="A155" s="2" t="inlineStr">
        <is>
          <t>Projeto Lei</t>
        </is>
      </c>
      <c r="B155" s="4">
        <f>RIGHT(C155,4)</f>
        <v/>
      </c>
      <c r="C155" s="73" t="inlineStr">
        <is>
          <t>4254/2018</t>
        </is>
      </c>
      <c r="D155" s="2" t="inlineStr">
        <is>
          <t>INSTITUI O CIRCUITO ESTADUAL DE CORRIDAS DE RUA DENOMINADO "VEM PRA RUA".</t>
        </is>
      </c>
      <c r="E155" s="2" t="inlineStr">
        <is>
          <t>ÁTILA NUNES</t>
        </is>
      </c>
      <c r="F155" s="18" t="inlineStr">
        <is>
          <t>CARLOS MACEDO</t>
        </is>
      </c>
      <c r="G155" s="10" t="inlineStr">
        <is>
          <t>FAVORÁVEL, COM EMENDAS DA COMISSÃO DE CONSTITUIÇÃO E JUSTIÇA</t>
        </is>
      </c>
      <c r="H155" s="37" t="inlineStr">
        <is>
          <t>11/02/2026</t>
        </is>
      </c>
      <c r="I155" s="14" t="inlineStr">
        <is>
          <t>8ªRE 
16/12/2025</t>
        </is>
      </c>
      <c r="J155" s="9" t="n">
        <v>45902</v>
      </c>
      <c r="K155" s="4" t="n"/>
      <c r="L155" s="17" t="n">
        <v>45881</v>
      </c>
      <c r="M155" s="9" t="n">
        <v>46099</v>
      </c>
      <c r="N155" s="18" t="inlineStr">
        <is>
          <t>CÉLIA JORDÃO</t>
        </is>
      </c>
      <c r="O155" s="10" t="inlineStr">
        <is>
          <t>FAVORÁVEL, COM EMENDAS</t>
        </is>
      </c>
      <c r="P155" s="9" t="n">
        <v>45953</v>
      </c>
      <c r="Q155" s="12" t="inlineStr">
        <is>
          <t>Não</t>
        </is>
      </c>
      <c r="R155" s="13" t="inlineStr">
        <is>
          <t>VISTA DE CÉLIA JORDÃO EM 02-SET
APROVADO O VOTO DO VENCIDO</t>
        </is>
      </c>
      <c r="S155" s="4" t="n"/>
      <c r="T155" s="4" t="n"/>
      <c r="U155" s="7" t="n"/>
      <c r="V155" s="3" t="inlineStr">
        <is>
          <t>http://alerjln1.alerj.rj.gov.br/scpro1519.nsf/18c1dd68f96be3e7832566ec0018d833/0033632354f2d157832582ba0062031d?OpenDocument</t>
        </is>
      </c>
      <c r="W155" s="3">
        <f>RIGHT(C155, 4)</f>
        <v/>
      </c>
      <c r="X155" s="3">
        <f>LEFT(C155, LEN(C155) - 5)</f>
        <v/>
      </c>
    </row>
    <row r="156" ht="45" customHeight="1" s="79">
      <c r="A156" s="2" t="inlineStr">
        <is>
          <t>Projeto Lei</t>
        </is>
      </c>
      <c r="B156" s="4">
        <f>RIGHT(C156,4)</f>
        <v/>
      </c>
      <c r="C156" s="2" t="inlineStr">
        <is>
          <t>4553/2018</t>
        </is>
      </c>
      <c r="D156" s="2" t="inlineStr">
        <is>
          <t>DISPÕE SOBRE A CRIAÇÃO DE PROGRAMA DE PREVENÇÃO DA SAÚDE DA SÍNDROME DE ZELLWEGER, NO ÂMBITO DO ESTADO DO RIO DE JANEIRO.</t>
        </is>
      </c>
      <c r="E156" s="2" t="inlineStr">
        <is>
          <t>ÁTILA NUNES</t>
        </is>
      </c>
      <c r="F156" s="18" t="inlineStr">
        <is>
          <t>CARLOS MACEDO</t>
        </is>
      </c>
      <c r="G156" s="10" t="inlineStr">
        <is>
          <t>FAVORÁVEL</t>
        </is>
      </c>
      <c r="H156" s="37" t="inlineStr">
        <is>
          <t>19/09/2025</t>
        </is>
      </c>
      <c r="I156" s="14" t="inlineStr">
        <is>
          <t>6ªRE
02/09/2025</t>
        </is>
      </c>
      <c r="J156" s="9" t="n">
        <v>45902</v>
      </c>
      <c r="K156" s="4" t="n"/>
      <c r="L156" s="9" t="n">
        <v>45881</v>
      </c>
      <c r="M156" s="4" t="n"/>
      <c r="N156" s="18" t="n"/>
      <c r="O156" s="10" t="n"/>
      <c r="P156" s="4" t="n"/>
      <c r="Q156" s="4" t="inlineStr">
        <is>
          <t>Não</t>
        </is>
      </c>
      <c r="R156" s="13" t="n"/>
      <c r="S156" s="4" t="n"/>
      <c r="T156" s="4" t="n"/>
      <c r="U156" s="7" t="n"/>
      <c r="V156" s="3" t="inlineStr">
        <is>
          <t>&lt;a href='http://alerjln1.alerj.rj.gov.br/scpro1519.nsf/18c1dd68f96be3e7832566ec0018d833/c8dacf8f8d671e0a03258369003f7e85?OpenDocument'&gt; LINK&lt;/a&gt;</t>
        </is>
      </c>
      <c r="W156" s="3">
        <f>RIGHT(C156, 4)</f>
        <v/>
      </c>
      <c r="X156" s="3">
        <f>LEFT(C156, LEN(C156) - 5)</f>
        <v/>
      </c>
    </row>
    <row r="157" ht="90" customHeight="1" s="79">
      <c r="A157" s="2" t="inlineStr">
        <is>
          <t>Projeto Lei</t>
        </is>
      </c>
      <c r="B157" s="4">
        <f>RIGHT(C157,4)</f>
        <v/>
      </c>
      <c r="C157" s="2" t="inlineStr">
        <is>
          <t>1457/2023</t>
        </is>
      </c>
      <c r="D157" s="2" t="inlineStr">
        <is>
          <t>AUTORIZA O PODER EXECUTIVO A ALTERAR O ARTIGO 19 DA LEI Nº 9537, DE 29 DEZEMBRO DE 2021 QUE DISPÕE SOBRE O SISTEMA DE PROTEÇÃO SOCIAL DOS MILITARES DO ESTADO DO RIO DE JANEIRO (SPSMERJ), ALTERA A LEI ESTADUAL Nº 279, DE 26 DE NOVEMBRO DE 1979, E DÁ OUTRAS PROVIDÊNCIAS</t>
        </is>
      </c>
      <c r="E157" s="2" t="inlineStr">
        <is>
          <t>RODRIGO BACELLAR</t>
        </is>
      </c>
      <c r="F157" s="18" t="inlineStr">
        <is>
          <t>CARLOS MACEDO</t>
        </is>
      </c>
      <c r="G157" s="10" t="inlineStr">
        <is>
          <t>Sim</t>
        </is>
      </c>
      <c r="H157" s="37" t="n"/>
      <c r="I157" s="14" t="n"/>
      <c r="J157" s="9" t="n"/>
      <c r="K157" s="4" t="n"/>
      <c r="L157" s="9" t="n">
        <v>45881</v>
      </c>
      <c r="M157" s="4" t="n"/>
      <c r="N157" s="18" t="n"/>
      <c r="O157" s="10" t="n"/>
      <c r="P157" s="4" t="n"/>
      <c r="Q157" s="4" t="inlineStr">
        <is>
          <t>Não</t>
        </is>
      </c>
      <c r="R157" s="13" t="inlineStr">
        <is>
          <t>Retirado de pauta por ser TIL, em 20-08-2025</t>
        </is>
      </c>
      <c r="S157" s="4" t="n"/>
      <c r="T157" s="4" t="n"/>
      <c r="U157" s="7" t="n"/>
      <c r="V157" s="3" t="inlineStr">
        <is>
          <t>&lt;a href='http://alerjln1.alerj.rj.gov.br/scpro2327.nsf/18c1dd68f96be3e7832566ec0018d833/63c5eaeec76e57ab032589db005fd66b?OpenDocument'&gt; LINK&lt;/a&gt;</t>
        </is>
      </c>
      <c r="W157" s="3">
        <f>RIGHT(C157, 4)</f>
        <v/>
      </c>
      <c r="X157" s="3">
        <f>LEFT(C157, LEN(C157) - 5)</f>
        <v/>
      </c>
    </row>
    <row r="158" ht="60" customHeight="1" s="79">
      <c r="A158" s="2" t="inlineStr">
        <is>
          <t>Projeto Lei</t>
        </is>
      </c>
      <c r="B158" s="4">
        <f>RIGHT(C158,4)</f>
        <v/>
      </c>
      <c r="C158" s="2" t="inlineStr">
        <is>
          <t>1174/2023</t>
        </is>
      </c>
      <c r="D158" s="2" t="inlineStr">
        <is>
          <t>DISPÕE SOBRE A INCLUSÃO DE NUTRICIONISTA E FISIOTERAPEUTA NOS CENTROS DE TRATAMENTO ONCOLÓGICO NO ÂMBITO DO ESTADO DO RIO DE JANEIRO</t>
        </is>
      </c>
      <c r="E158" s="2" t="inlineStr">
        <is>
          <t>MUNIR NETO</t>
        </is>
      </c>
      <c r="F158" s="18" t="inlineStr">
        <is>
          <t>CARLOS MACEDO</t>
        </is>
      </c>
      <c r="G158" s="10" t="inlineStr">
        <is>
          <t>FAVORÁVEL</t>
        </is>
      </c>
      <c r="H158" s="37" t="inlineStr">
        <is>
          <t>20/02/2026</t>
        </is>
      </c>
      <c r="I158" s="14" t="inlineStr">
        <is>
          <t>8ªRE 
16/12/2025</t>
        </is>
      </c>
      <c r="J158" s="9" t="n">
        <v>45902</v>
      </c>
      <c r="K158" s="4" t="n"/>
      <c r="L158" s="9" t="n">
        <v>45881</v>
      </c>
      <c r="M158" s="9" t="n">
        <v>46076</v>
      </c>
      <c r="N158" s="18" t="inlineStr">
        <is>
          <t>CÉLIA JORDÃO</t>
        </is>
      </c>
      <c r="O158" s="10" t="n"/>
      <c r="P158" s="9" t="n">
        <v>45953</v>
      </c>
      <c r="Q158" s="12" t="inlineStr">
        <is>
          <t>Não</t>
        </is>
      </c>
      <c r="R158" s="13" t="inlineStr">
        <is>
          <t>VISTA DE CÉLIA JORDÃO EM 02-SET</t>
        </is>
      </c>
      <c r="S158" s="4" t="n"/>
      <c r="T158" s="4" t="n"/>
      <c r="U158" s="7" t="n"/>
      <c r="V158" s="3" t="inlineStr">
        <is>
          <t>&lt;a href='http://alerjln1.alerj.rj.gov.br/scpro2327.nsf/18c1dd68f96be3e7832566ec0018d833/265dfa1b080a9a6b032589bf005d4c2a?OpenDocument'&gt; LINK&lt;/a&gt;</t>
        </is>
      </c>
      <c r="W158" s="3">
        <f>RIGHT(C158, 4)</f>
        <v/>
      </c>
      <c r="X158" s="3">
        <f>LEFT(C158, LEN(C158) - 5)</f>
        <v/>
      </c>
    </row>
    <row r="159" ht="75" customHeight="1" s="79">
      <c r="A159" s="2" t="inlineStr">
        <is>
          <t>Projeto Lei</t>
        </is>
      </c>
      <c r="B159" s="4">
        <f>RIGHT(C159,4)</f>
        <v/>
      </c>
      <c r="C159" s="73" t="inlineStr">
        <is>
          <t>65/2023</t>
        </is>
      </c>
      <c r="D159" s="2" t="inlineStr">
        <is>
          <t>INSTITUI O PROGRAMA ESTADUAL DE COMBATE À PSICOFOBIA NO ESTADO DO RIO DE JANEIRO.</t>
        </is>
      </c>
      <c r="E159" s="2" t="inlineStr">
        <is>
          <t>VERONICA LIMA</t>
        </is>
      </c>
      <c r="F159" s="18" t="inlineStr">
        <is>
          <t>CARLOS MACEDO</t>
        </is>
      </c>
      <c r="G159" s="10" t="inlineStr">
        <is>
          <t>FAVORÁVEL COM AS EMENDAS DA COMISSÃO DE CONSTITUIÇÃO E JUSTIÇA</t>
        </is>
      </c>
      <c r="H159" s="37" t="inlineStr">
        <is>
          <t>23/09/2025</t>
        </is>
      </c>
      <c r="I159" s="14" t="inlineStr">
        <is>
          <t>6ªRE
02/09/2025</t>
        </is>
      </c>
      <c r="J159" s="9" t="n"/>
      <c r="K159" s="4" t="n"/>
      <c r="L159" s="9" t="n">
        <v>45881</v>
      </c>
      <c r="M159" s="4" t="n"/>
      <c r="N159" s="18" t="n"/>
      <c r="O159" s="10" t="n"/>
      <c r="P159" s="4" t="n"/>
      <c r="Q159" s="4" t="inlineStr">
        <is>
          <t>Não</t>
        </is>
      </c>
      <c r="R159" s="13" t="n"/>
      <c r="S159" s="4" t="n"/>
      <c r="T159" s="4" t="n"/>
      <c r="U159" s="7" t="n"/>
      <c r="V159" s="3" t="inlineStr">
        <is>
          <t>http://alerjln1.alerj.rj.gov.br/scpro2327.nsf/18c1dd68f96be3e7832566ec0018d833/039591fa66cd6a0f032589490068568c?OpenDocument</t>
        </is>
      </c>
      <c r="W159" s="3">
        <f>RIGHT(C159, 4)</f>
        <v/>
      </c>
      <c r="X159" s="3">
        <f>LEFT(C159, LEN(C159) - 5)</f>
        <v/>
      </c>
    </row>
    <row r="160" ht="60" customHeight="1" s="79">
      <c r="A160" s="2" t="inlineStr">
        <is>
          <t>Projeto Lei</t>
        </is>
      </c>
      <c r="B160" s="4">
        <f>RIGHT(C160,4)</f>
        <v/>
      </c>
      <c r="C160" s="73" t="inlineStr">
        <is>
          <t>EP 682/2023</t>
        </is>
      </c>
      <c r="D160" s="2" t="inlineStr">
        <is>
          <t>INSTITUI A CAMPANHA PERMANENTE DE ORIENTAÇÃO, COM AÇÕES PREVENTIVAS, CONSCIENTIZAÇÃO DA DEPRESSÃO, TRANSTORNO DE ANSIEDADE E SÍNDROME DO PÂNICO.</t>
        </is>
      </c>
      <c r="E160" s="2" t="inlineStr">
        <is>
          <t>BRAZAO</t>
        </is>
      </c>
      <c r="F160" s="18" t="inlineStr">
        <is>
          <t>CARLOS MACEDO</t>
        </is>
      </c>
      <c r="G160" s="10" t="inlineStr">
        <is>
          <t>FAVORÁVEL A TODAS AS EMENDAS</t>
        </is>
      </c>
      <c r="H160" s="37" t="inlineStr">
        <is>
          <t>23/09/2025</t>
        </is>
      </c>
      <c r="I160" s="14" t="inlineStr">
        <is>
          <t>6ªRE
02/09/2025</t>
        </is>
      </c>
      <c r="J160" s="9" t="n">
        <v>45902</v>
      </c>
      <c r="K160" s="4" t="n"/>
      <c r="L160" s="9" t="n">
        <v>45881</v>
      </c>
      <c r="M160" s="4" t="n"/>
      <c r="N160" s="18" t="n"/>
      <c r="O160" s="10" t="n"/>
      <c r="P160" s="4" t="n"/>
      <c r="Q160" s="4" t="inlineStr">
        <is>
          <t>Não</t>
        </is>
      </c>
      <c r="R160" s="13" t="n"/>
      <c r="S160" s="4" t="n"/>
      <c r="T160" s="4" t="n"/>
      <c r="U160" s="7" t="n"/>
      <c r="V160" s="3" t="inlineStr">
        <is>
          <t>http://alerjln1.alerj.rj.gov.br/scpro2327.nsf/18c1dd68f96be3e7832566ec0018d833/a0d917e15e95711b0325898800694c26?OpenDocument</t>
        </is>
      </c>
      <c r="W160" s="3">
        <f>RIGHT(C160, 4)</f>
        <v/>
      </c>
      <c r="X160" s="3">
        <f>LEFT(C160, LEN(C160) - 5)</f>
        <v/>
      </c>
    </row>
    <row r="161" ht="90" customHeight="1" s="79">
      <c r="A161" s="2" t="inlineStr">
        <is>
          <t>Projeto Lei</t>
        </is>
      </c>
      <c r="B161" s="4">
        <f>RIGHT(C161,4)</f>
        <v/>
      </c>
      <c r="C161" s="2" t="inlineStr">
        <is>
          <t>962/2023</t>
        </is>
      </c>
      <c r="D161" s="2" t="inlineStr">
        <is>
          <t>ALTERA A LEI Nº 9.894, DE 04 DE NOVEMBRO DE 2022, QUE DISPÕE SOBRE AS NORMAS DE CONCESSÃO E UTILIZAÇÃO DO CORDÃO DE GIRASSOL COMO SÍMBOLO DE IDENTIFICAÇÃO DAS PESSOAS COM DEFICIÊNCIAS OCULTAS NO ESTADO DO RIO DE JANEIRO E DÁ OUTRAS PROVIDÊNCIAS.</t>
        </is>
      </c>
      <c r="E161" s="2" t="inlineStr">
        <is>
          <t>OTONI DE PAULA PAI, India Armelau</t>
        </is>
      </c>
      <c r="F161" s="18" t="inlineStr">
        <is>
          <t>CARLOS MACEDO</t>
        </is>
      </c>
      <c r="G161" s="10" t="inlineStr">
        <is>
          <t>FAVORÁVEL COM AS EMENDAS DA COMISSÃO DE CONSTITUIÇÃO E JUSTIÇA</t>
        </is>
      </c>
      <c r="H161" s="37" t="inlineStr">
        <is>
          <t>22/09/2025</t>
        </is>
      </c>
      <c r="I161" s="14" t="inlineStr">
        <is>
          <t>6ªRE
02/09/2025</t>
        </is>
      </c>
      <c r="J161" s="9" t="n">
        <v>45902</v>
      </c>
      <c r="K161" s="4" t="n"/>
      <c r="L161" s="9" t="n">
        <v>45881</v>
      </c>
      <c r="M161" s="4" t="n"/>
      <c r="N161" s="18" t="n"/>
      <c r="O161" s="10" t="n"/>
      <c r="P161" s="4" t="n"/>
      <c r="Q161" s="4" t="inlineStr">
        <is>
          <t>Não</t>
        </is>
      </c>
      <c r="R161" s="13" t="n"/>
      <c r="S161" s="4" t="n"/>
      <c r="T161" s="4" t="n"/>
      <c r="U161" s="7" t="n"/>
      <c r="V161" s="3" t="inlineStr">
        <is>
          <t>&lt;a href='http://alerjln1.alerj.rj.gov.br/scpro2327.nsf/18c1dd68f96be3e7832566ec0018d833/279dac68a0ca0b6c032589aa005368f4?OpenDocument'&gt; LINK&lt;/a&gt;</t>
        </is>
      </c>
      <c r="W161" s="3">
        <f>RIGHT(C161, 4)</f>
        <v/>
      </c>
      <c r="X161" s="3">
        <f>LEFT(C161, LEN(C161) - 5)</f>
        <v/>
      </c>
    </row>
    <row r="162" ht="75" customHeight="1" s="79">
      <c r="A162" s="2" t="inlineStr">
        <is>
          <t>Projeto Lei</t>
        </is>
      </c>
      <c r="B162" s="4">
        <f>RIGHT(C162,4)</f>
        <v/>
      </c>
      <c r="C162" s="2" t="inlineStr">
        <is>
          <t>741/2023</t>
        </is>
      </c>
      <c r="D162" s="2" t="inlineStr">
        <is>
          <t>DISPÕE SOBRE AS FORMAS DE PAGAMENTO PELOS SERVIÇOS PRESTADOS PELO DETRAN RJ E DÁ OUTRAS PROVIDÊNCIAS.</t>
        </is>
      </c>
      <c r="E162" s="2" t="inlineStr">
        <is>
          <t>VALDECY DA SAUDE</t>
        </is>
      </c>
      <c r="F162" s="18" t="inlineStr">
        <is>
          <t>CARLOS MACEDO</t>
        </is>
      </c>
      <c r="G162" s="10" t="inlineStr">
        <is>
          <t>FAVORÁVEL COM AS EMENDAS DA COMISSÃO DE CONSTITUIÇÃO E JUSTIÇA</t>
        </is>
      </c>
      <c r="H162" s="37" t="inlineStr">
        <is>
          <t>22/09/2025</t>
        </is>
      </c>
      <c r="I162" s="14" t="inlineStr">
        <is>
          <t>6ªRE
02/09/2025</t>
        </is>
      </c>
      <c r="J162" s="9" t="n">
        <v>45902</v>
      </c>
      <c r="K162" s="4" t="n"/>
      <c r="L162" s="9" t="n">
        <v>45881</v>
      </c>
      <c r="M162" s="4" t="n"/>
      <c r="N162" s="18" t="n"/>
      <c r="O162" s="10" t="n"/>
      <c r="P162" s="4" t="n"/>
      <c r="Q162" s="4" t="inlineStr">
        <is>
          <t>Não</t>
        </is>
      </c>
      <c r="R162" s="13" t="n"/>
      <c r="S162" s="4" t="n"/>
      <c r="T162" s="4" t="n"/>
      <c r="U162" s="7" t="n"/>
      <c r="V162" s="3" t="inlineStr">
        <is>
          <t>&lt;a href='http://alerjln1.alerj.rj.gov.br/scpro2327.nsf/18c1dd68f96be3e7832566ec0018d833/ef6267ba00867d5a0325898f005f046a?OpenDocument'&gt; LINK&lt;/a&gt;</t>
        </is>
      </c>
      <c r="W162" s="3">
        <f>RIGHT(C162, 4)</f>
        <v/>
      </c>
      <c r="X162" s="3">
        <f>LEFT(C162, LEN(C162) - 5)</f>
        <v/>
      </c>
    </row>
    <row r="163" ht="90" customHeight="1" s="79">
      <c r="A163" s="2" t="inlineStr">
        <is>
          <t>Projeto Lei</t>
        </is>
      </c>
      <c r="B163" s="4">
        <f>RIGHT(C163,4)</f>
        <v/>
      </c>
      <c r="C163" s="2" t="inlineStr">
        <is>
          <t>5320/2022</t>
        </is>
      </c>
      <c r="D163" s="2" t="inlineStr">
        <is>
          <t>INSTITUI O PROGRAMA DE PROTEÇÃO AOS DIREITOS DAS CRIANÇAS E ADOLESCENTES NAS FESTAS POPULARES E CARNAVAL, NO ÂMBITO DO ESTADO DO RIO DE JANEIRO.</t>
        </is>
      </c>
      <c r="E163" s="2" t="inlineStr">
        <is>
          <t>VALDECY DA SAUDE</t>
        </is>
      </c>
      <c r="F163" s="18" t="inlineStr">
        <is>
          <t>CARLOS MACEDO</t>
        </is>
      </c>
      <c r="G163" s="10" t="inlineStr">
        <is>
          <t>FAVORÁVEL, COM EMENDAS DA COMISSÃO DE CONSTITUIÇÃO E JUSTIÇA</t>
        </is>
      </c>
      <c r="H163" s="37" t="inlineStr">
        <is>
          <t>11/02/2026</t>
        </is>
      </c>
      <c r="I163" s="14" t="inlineStr">
        <is>
          <t>8ªRE 
16/12/2025</t>
        </is>
      </c>
      <c r="J163" s="9" t="n">
        <v>45902</v>
      </c>
      <c r="K163" s="4" t="n"/>
      <c r="L163" s="17" t="n">
        <v>45881</v>
      </c>
      <c r="M163" s="9" t="n">
        <v>46099</v>
      </c>
      <c r="N163" s="18" t="inlineStr">
        <is>
          <t>CÉLIA JORDÃO</t>
        </is>
      </c>
      <c r="O163" s="10" t="inlineStr">
        <is>
          <t>FAVORÁVEL COM SUBEMENDA À EMENDA MODIFICATIVA 01 E FAVORÁVEL À EMENDA 02</t>
        </is>
      </c>
      <c r="P163" s="9" t="n">
        <v>45953</v>
      </c>
      <c r="Q163" s="12" t="inlineStr">
        <is>
          <t>Não</t>
        </is>
      </c>
      <c r="R163" s="13" t="inlineStr">
        <is>
          <t>VISTA DE CÉLIA JORDÃO EM 02-SET
APROVADO O VOTO DO VENCIDO</t>
        </is>
      </c>
      <c r="S163" s="4" t="n"/>
      <c r="T163" s="4" t="n"/>
      <c r="U163" s="7" t="n"/>
      <c r="V163" s="3" t="inlineStr">
        <is>
          <t>&lt;a href='http://alerjln1.alerj.rj.gov.br/scpro1923.nsf/18c1dd68f96be3e7832566ec0018d833/f09f6e282ee2bd5e032587dd00552a0e?OpenDocument'&gt; LINK&lt;/a&gt;</t>
        </is>
      </c>
      <c r="W163" s="3">
        <f>RIGHT(C163, 4)</f>
        <v/>
      </c>
      <c r="X163" s="3">
        <f>LEFT(C163, LEN(C163) - 5)</f>
        <v/>
      </c>
    </row>
    <row r="164" ht="135" customHeight="1" s="79">
      <c r="A164" s="2" t="inlineStr">
        <is>
          <t>Projeto Lei</t>
        </is>
      </c>
      <c r="B164" s="4">
        <f>RIGHT(C164,4)</f>
        <v/>
      </c>
      <c r="C164" s="73" t="inlineStr">
        <is>
          <t>543/2019</t>
        </is>
      </c>
      <c r="D164" s="2" t="inlineStr">
        <is>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is>
      </c>
      <c r="E164" s="2" t="inlineStr">
        <is>
          <t>ZEIDAN LULA</t>
        </is>
      </c>
      <c r="F164" s="18" t="inlineStr">
        <is>
          <t>CARLOS MACEDO</t>
        </is>
      </c>
      <c r="G164" s="10" t="inlineStr">
        <is>
          <t>FAVORÁVEL</t>
        </is>
      </c>
      <c r="H164" s="37" t="inlineStr">
        <is>
          <t>23/09/2025</t>
        </is>
      </c>
      <c r="I164" s="14" t="inlineStr">
        <is>
          <t>6ªRE
02/09/2025</t>
        </is>
      </c>
      <c r="J164" s="9" t="n">
        <v>45902</v>
      </c>
      <c r="K164" s="4" t="n"/>
      <c r="L164" s="9" t="n">
        <v>45881</v>
      </c>
      <c r="M164" s="4" t="n"/>
      <c r="N164" s="18" t="n"/>
      <c r="O164" s="10" t="n"/>
      <c r="P164" s="4" t="n"/>
      <c r="Q164" s="4" t="inlineStr">
        <is>
          <t>Não</t>
        </is>
      </c>
      <c r="R164" s="13" t="n"/>
      <c r="S164" s="4" t="n"/>
      <c r="T164" s="4" t="n"/>
      <c r="U164" s="7" t="n"/>
      <c r="V164" s="3" t="inlineStr">
        <is>
          <t>http://alerjln1.alerj.rj.gov.br/scpro1923.nsf/18c1dd68f96be3e7832566ec0018d833/b55698f7032a25aa832583fa0054dd40?OpenDocument</t>
        </is>
      </c>
      <c r="W164" s="3">
        <f>RIGHT(C164, 4)</f>
        <v/>
      </c>
      <c r="X164" s="3">
        <f>LEFT(C164, LEN(C164) - 5)</f>
        <v/>
      </c>
    </row>
    <row r="165" ht="90" customHeight="1" s="79">
      <c r="A165" s="2" t="inlineStr">
        <is>
          <t>Projeto Lei</t>
        </is>
      </c>
      <c r="B165" s="4">
        <f>RIGHT(C165,4)</f>
        <v/>
      </c>
      <c r="C165" s="73" t="inlineStr">
        <is>
          <t>1458/2023</t>
        </is>
      </c>
      <c r="D165" s="2" t="inlineStr">
        <is>
          <t>DISPÕE SOBRE A PROIBIÇAO DE SE CONDICIONAR A LIGAÇÃO OU ALTERAÇÃO DA TITULARIDADE DO SERVIÇO DE ENERGIA ELÉTRICA E FORNECIMENTO DE GÁS E ÁGUA AO PAGAMENTO DE DÉBITO PENDENTE EM NOME DE TERCEIROS NO ÂMBITO DO ESTADO DO RIO DE JANEIRO E DA OUTRAS PROVIDÊNCIAS</t>
        </is>
      </c>
      <c r="E165" s="2" t="inlineStr">
        <is>
          <t>RODRIGO BACELLAR</t>
        </is>
      </c>
      <c r="F165" s="18" t="inlineStr">
        <is>
          <t>CARLOS MACEDO</t>
        </is>
      </c>
      <c r="G165" s="10" t="inlineStr">
        <is>
          <t>FAVORÁVEL</t>
        </is>
      </c>
      <c r="H165" s="37" t="inlineStr">
        <is>
          <t>19/09/2025</t>
        </is>
      </c>
      <c r="I165" s="14" t="inlineStr">
        <is>
          <t>6ªRE
02/09/2025</t>
        </is>
      </c>
      <c r="J165" s="9" t="n">
        <v>45902</v>
      </c>
      <c r="K165" s="4" t="n"/>
      <c r="L165" s="9" t="n">
        <v>45881</v>
      </c>
      <c r="M165" s="4" t="n"/>
      <c r="N165" s="18" t="n"/>
      <c r="O165" s="10" t="n"/>
      <c r="P165" s="4" t="n"/>
      <c r="Q165" s="4" t="inlineStr">
        <is>
          <t>Não</t>
        </is>
      </c>
      <c r="R165" s="13" t="n"/>
      <c r="S165" s="4" t="n"/>
      <c r="T165" s="4" t="n"/>
      <c r="U165" s="7" t="n"/>
      <c r="V165" s="3" t="inlineStr">
        <is>
          <t>http://alerjln1.alerj.rj.gov.br/scpro2327.nsf/18c1dd68f96be3e7832566ec0018d833/2eba35be8b46633e032589db0062f4aa?OpenDocument</t>
        </is>
      </c>
      <c r="W165" s="3">
        <f>RIGHT(C165, 4)</f>
        <v/>
      </c>
      <c r="X165" s="3">
        <f>LEFT(C165, LEN(C165) - 5)</f>
        <v/>
      </c>
    </row>
    <row r="166" ht="75" customHeight="1" s="79">
      <c r="A166" s="2" t="inlineStr">
        <is>
          <t>Projeto Lei</t>
        </is>
      </c>
      <c r="B166" s="4">
        <f>RIGHT(C166,4)</f>
        <v/>
      </c>
      <c r="C166" s="2" t="inlineStr">
        <is>
          <t>4946/2021</t>
        </is>
      </c>
      <c r="D166" s="2" t="inlineStr">
        <is>
          <t>VEDA O DESCONTO DE CONTRIBUIÇÃO SINDICAL NA FOLHA DE PAGAMENTO DE SERVIDORES PÚBLICOS NO ÂMBITO DO ESTADO DO RIO DE JANEIRO.</t>
        </is>
      </c>
      <c r="E166" s="2" t="inlineStr">
        <is>
          <t>RODRIGO AMORIM</t>
        </is>
      </c>
      <c r="F166" s="18" t="inlineStr">
        <is>
          <t>CARLOS MACEDO</t>
        </is>
      </c>
      <c r="G166" s="10" t="inlineStr">
        <is>
          <t>FAVORÁVEL COM A EMENDA DA COMISSÃO DE CONSTITUIÇÃO E JUSTIÇA</t>
        </is>
      </c>
      <c r="H166" s="37" t="inlineStr">
        <is>
          <t>19/09/2025</t>
        </is>
      </c>
      <c r="I166" s="14" t="inlineStr">
        <is>
          <t>6ªRE
02/09/2025</t>
        </is>
      </c>
      <c r="J166" s="9" t="n">
        <v>45902</v>
      </c>
      <c r="K166" s="4" t="n"/>
      <c r="L166" s="9" t="n">
        <v>45881</v>
      </c>
      <c r="M166" s="4" t="n"/>
      <c r="N166" s="18" t="n"/>
      <c r="O166" s="10" t="n"/>
      <c r="P166" s="4" t="n"/>
      <c r="Q166" s="4" t="inlineStr">
        <is>
          <t>Não</t>
        </is>
      </c>
      <c r="R166" s="13" t="n"/>
      <c r="S166" s="4" t="n"/>
      <c r="T166" s="4" t="n"/>
      <c r="U166" s="7" t="n"/>
      <c r="V166" s="3" t="inlineStr">
        <is>
          <t>&lt;a href='http://alerjln1.alerj.rj.gov.br/scpro1923.nsf/18c1dd68f96be3e7832566ec0018d833/3c2d0e50d76a2a8f032587600060d797?OpenDocument'&gt; LINK&lt;/a&gt;</t>
        </is>
      </c>
      <c r="W166" s="3">
        <f>RIGHT(C166, 4)</f>
        <v/>
      </c>
      <c r="X166" s="3">
        <f>LEFT(C166, LEN(C166) - 5)</f>
        <v/>
      </c>
    </row>
    <row r="167" ht="75" customHeight="1" s="79">
      <c r="A167" s="2" t="inlineStr">
        <is>
          <t>Projeto Lei</t>
        </is>
      </c>
      <c r="B167" s="4">
        <f>RIGHT(C167,4)</f>
        <v/>
      </c>
      <c r="C167" s="73" t="inlineStr">
        <is>
          <t>4947/2021</t>
        </is>
      </c>
      <c r="D167" s="2" t="inlineStr">
        <is>
          <t>CRIA A CARTEIRA DE IDENTIFICAÇÃO DO AUTISTA - CIA, PARA A PESSOA COM TRANSTORNO DO ESPECTRO AUTISTA - TEA.</t>
        </is>
      </c>
      <c r="E167" s="2" t="inlineStr">
        <is>
          <t>RODRIGO AMORIM</t>
        </is>
      </c>
      <c r="F167" s="18" t="inlineStr">
        <is>
          <t>CARLOS MACEDO</t>
        </is>
      </c>
      <c r="G167" s="10" t="inlineStr">
        <is>
          <t>FAVORÁVEL, AO SUBSTITUTIVO DA COMISSÃO DE CONSTITUIÇÃO E JUSTIÇA</t>
        </is>
      </c>
      <c r="H167" s="37" t="inlineStr">
        <is>
          <t>23/09/2025</t>
        </is>
      </c>
      <c r="I167" s="14" t="inlineStr">
        <is>
          <t>6ªRE
02/09/2025</t>
        </is>
      </c>
      <c r="J167" s="9" t="n">
        <v>45902</v>
      </c>
      <c r="K167" s="4" t="n"/>
      <c r="L167" s="9" t="n">
        <v>45881</v>
      </c>
      <c r="M167" s="4" t="n"/>
      <c r="N167" s="18" t="n"/>
      <c r="O167" s="10" t="n"/>
      <c r="P167" s="4" t="n"/>
      <c r="Q167" s="4" t="inlineStr">
        <is>
          <t>Não</t>
        </is>
      </c>
      <c r="R167" s="13" t="n"/>
      <c r="S167" s="4" t="n"/>
      <c r="T167" s="4" t="n"/>
      <c r="U167" s="7" t="n"/>
      <c r="V167" s="3" t="inlineStr">
        <is>
          <t>&lt;a href='http://alerjln1.alerj.rj.gov.br/scpro1923.nsf/18c1dd68f96be3e7832566ec0018d833/1167605cdea3b28103258760005fdba1?OpenDocument'&gt; LINK&lt;/a&gt;</t>
        </is>
      </c>
      <c r="W167" s="3">
        <f>RIGHT(C167, 4)</f>
        <v/>
      </c>
      <c r="X167" s="3">
        <f>LEFT(C167, LEN(C167) - 5)</f>
        <v/>
      </c>
    </row>
    <row r="168" ht="75" customHeight="1" s="79">
      <c r="A168" s="2" t="inlineStr">
        <is>
          <t>Projeto Lei</t>
        </is>
      </c>
      <c r="B168" s="4">
        <f>RIGHT(C168,4)</f>
        <v/>
      </c>
      <c r="C168" s="2" t="inlineStr">
        <is>
          <t>3085/2024</t>
        </is>
      </c>
      <c r="D168" s="2" t="inlineStr">
        <is>
          <t>INSTITUI O “PROGRAMA DE SAÚDE PET DA FAMÍLIA”, E DÁ OUTRAS PROVIDÊNCIAS.</t>
        </is>
      </c>
      <c r="E168" s="2" t="inlineStr">
        <is>
          <t>ANDERSON MORAES</t>
        </is>
      </c>
      <c r="F168" s="18" t="inlineStr">
        <is>
          <t>VINICIUS COZZOLINO</t>
        </is>
      </c>
      <c r="G168" s="10" t="inlineStr">
        <is>
          <t>FAVORÁVEL COM AS EMENDAS DA COMISSÃO DE CONSTITUIÇÃO E JUSTIÇA</t>
        </is>
      </c>
      <c r="H168" s="37" t="inlineStr">
        <is>
          <t>20/02/2026</t>
        </is>
      </c>
      <c r="I168" s="14" t="inlineStr">
        <is>
          <t>8ªRE 
16/12/2025</t>
        </is>
      </c>
      <c r="J168" s="9" t="n">
        <v>45882</v>
      </c>
      <c r="K168" s="9" t="n">
        <v>45896</v>
      </c>
      <c r="L168" s="9" t="n">
        <v>45930</v>
      </c>
      <c r="M168" s="9" t="n">
        <v>46076</v>
      </c>
      <c r="N168" s="18" t="n"/>
      <c r="O168" s="10" t="n"/>
      <c r="P168" s="4" t="n"/>
      <c r="Q168" s="4" t="inlineStr">
        <is>
          <t>Não</t>
        </is>
      </c>
      <c r="R168" s="13" t="n"/>
      <c r="S168" s="4" t="n"/>
      <c r="T168" s="4" t="n"/>
      <c r="U168" s="7" t="n"/>
      <c r="V168" s="3" t="inlineStr">
        <is>
          <t>&lt;a href='http://alerjln1.alerj.rj.gov.br/scpro2327.nsf/18c1dd68f96be3e7832566ec0018d833/9bc484b57938ec6e03258ad20044175f?OpenDocument'&gt; LINK&lt;/a&gt;</t>
        </is>
      </c>
      <c r="W168" s="3">
        <f>RIGHT(C168, 4)</f>
        <v/>
      </c>
      <c r="X168" s="3">
        <f>LEFT(C168, LEN(C168) - 5)</f>
        <v/>
      </c>
    </row>
    <row r="169" ht="75" customHeight="1" s="79">
      <c r="A169" s="2" t="inlineStr">
        <is>
          <t>Projeto Lei</t>
        </is>
      </c>
      <c r="B169" s="4">
        <f>RIGHT(C169,4)</f>
        <v/>
      </c>
      <c r="C169" s="2" t="inlineStr">
        <is>
          <t>520/2023</t>
        </is>
      </c>
      <c r="D169" s="2" t="inlineStr">
        <is>
          <t>DISPÕE SOBRE A CRIAÇÃO DO CENTRO INTEGRADO DE MONITORAMENTO DE ESTRADAS E ENCOSTAS – CIMEE, NO ÂMBITO DO ESTADO DO RIO DE JANEIRO.</t>
        </is>
      </c>
      <c r="E169" s="2" t="inlineStr">
        <is>
          <t>GUILHERME DELAROLI</t>
        </is>
      </c>
      <c r="F169" s="18" t="inlineStr">
        <is>
          <t>CARLOS MACEDO</t>
        </is>
      </c>
      <c r="G169" s="10" t="inlineStr">
        <is>
          <t>FAVORÁVEL COM EMENDAS DA COMISSÃO DE CONSTITUIÇÃO E JUSTIÇA</t>
        </is>
      </c>
      <c r="H169" s="37" t="inlineStr">
        <is>
          <t>06/02/2026</t>
        </is>
      </c>
      <c r="I169" s="14" t="inlineStr">
        <is>
          <t>8ªRE 
16/12/2025</t>
        </is>
      </c>
      <c r="J169" s="9" t="n">
        <v>45882</v>
      </c>
      <c r="K169" s="9" t="n">
        <v>45896</v>
      </c>
      <c r="L169" s="9" t="n">
        <v>45993</v>
      </c>
      <c r="M169" s="4" t="n"/>
      <c r="N169" s="18" t="n"/>
      <c r="O169" s="10" t="n"/>
      <c r="P169" s="4" t="n"/>
      <c r="Q169" s="4" t="inlineStr">
        <is>
          <t>Sim</t>
        </is>
      </c>
      <c r="R169" s="13" t="inlineStr">
        <is>
          <t>com o PL 1360/2023 anexado</t>
        </is>
      </c>
      <c r="S169" s="4" t="n"/>
      <c r="T169" s="4" t="n"/>
      <c r="U169" s="7" t="n"/>
      <c r="V169" s="3" t="inlineStr">
        <is>
          <t>&lt;a href='http://alerjln1.alerj.rj.gov.br/scpro2327.nsf/18c1dd68f96be3e7832566ec0018d833/f6e244bff728d89e0325897a006cff57?OpenDocument'&gt; LINK&lt;/a&gt;</t>
        </is>
      </c>
      <c r="W169" s="3">
        <f>RIGHT(C169, 4)</f>
        <v/>
      </c>
      <c r="X169" s="3">
        <f>LEFT(C169, LEN(C169) - 5)</f>
        <v/>
      </c>
    </row>
    <row r="170" ht="60" customHeight="1" s="79">
      <c r="A170" s="2" t="inlineStr">
        <is>
          <t>Projeto Lei</t>
        </is>
      </c>
      <c r="B170" s="4">
        <f>RIGHT(C170,4)</f>
        <v/>
      </c>
      <c r="C170" s="2" t="inlineStr">
        <is>
          <t>3195/2020</t>
        </is>
      </c>
      <c r="D170" s="2" t="inlineStr">
        <is>
          <t>REGULAMENTA OS ARTIGOS 268, I, II E IV DA CONSTITUIÇÃO ESTADUAL NO QUE CONCERNE AS ÁREAS DE PRESERVAÇÃO PERMANENTE DE RESTINGAS E MANGUEZAIS.</t>
        </is>
      </c>
      <c r="E170" s="2" t="inlineStr">
        <is>
          <t>CARLOS MINC</t>
        </is>
      </c>
      <c r="F170" s="18" t="inlineStr">
        <is>
          <t>CARLOS MACEDO</t>
        </is>
      </c>
      <c r="G170" s="10" t="inlineStr">
        <is>
          <t>FAVORÁVEL</t>
        </is>
      </c>
      <c r="H170" s="37" t="inlineStr">
        <is>
          <t>11/02/2026</t>
        </is>
      </c>
      <c r="I170" s="14" t="inlineStr">
        <is>
          <t>8ªRE 
16/12/2025</t>
        </is>
      </c>
      <c r="J170" s="9" t="n">
        <v>45882</v>
      </c>
      <c r="K170" s="9" t="n">
        <v>45896</v>
      </c>
      <c r="L170" s="9" t="n">
        <v>45993</v>
      </c>
      <c r="M170" s="9" t="n">
        <v>46065</v>
      </c>
      <c r="N170" s="18" t="n"/>
      <c r="O170" s="10" t="n"/>
      <c r="P170" s="4" t="n"/>
      <c r="Q170" s="4" t="inlineStr">
        <is>
          <t>Não</t>
        </is>
      </c>
      <c r="R170" s="13" t="n"/>
      <c r="S170" s="4" t="n"/>
      <c r="T170" s="4" t="n"/>
      <c r="U170" s="7" t="n"/>
      <c r="V170" s="3" t="inlineStr">
        <is>
          <t>&lt;a href='http://alerjln1.alerj.rj.gov.br/scpro1923.nsf/18c1dd68f96be3e7832566ec0018d833/ee70c2104beb9cce032585fa00692b9a?OpenDocument'&gt; LINK&lt;/a&gt;</t>
        </is>
      </c>
      <c r="W170" s="3">
        <f>RIGHT(C170, 4)</f>
        <v/>
      </c>
      <c r="X170" s="3">
        <f>LEFT(C170, LEN(C170) - 5)</f>
        <v/>
      </c>
    </row>
    <row r="171" ht="315" customHeight="1" s="79">
      <c r="A171" s="2" t="inlineStr">
        <is>
          <t>Projeto Lei</t>
        </is>
      </c>
      <c r="B171" s="4">
        <f>RIGHT(C171,4)</f>
        <v/>
      </c>
      <c r="C171" s="73" t="inlineStr">
        <is>
          <t>1559/2019</t>
        </is>
      </c>
      <c r="D171" s="2" t="inlineStr">
        <is>
          <t>TORNA OBRIGATÓRIA A PRESTAÇÃO DE COLABORAÇÃO À ESTABELECIMENTO PÚBLICO DE EDUCAÇÃO BÁSICA PELOS BENEFICIÁRIOS DE BOLSA DE ESTUDO</t>
        </is>
      </c>
      <c r="E171" s="2" t="inlineStr">
        <is>
          <t>RODRIGO BACELLAR</t>
        </is>
      </c>
      <c r="F171" s="18" t="inlineStr">
        <is>
          <t>CARLOS MACEDO</t>
        </is>
      </c>
      <c r="G171" s="10" t="inlineStr">
        <is>
          <t>FAVORÁVEL À EMENDA Nº 04; CONTRÁRIO ÀS EMENDAS Nº 01 E 02; PREJUDICADA EMENDA Nº 03 PELA APROVAÇÃO DA EMENDA Nº 04 DA COMISSÃO DE CONSTITUIÇÃO E JUSTIÇA; PREJUDICADAS AS EMENDAS Nº 05, 06 E 07 PELA APROVAÇÃO DA EMENDA Nº 04 DA COMISSÃO DE CONSTITUIÇÃO E JUSTIÇA, CONCLUINDO POR SUBSTITUTIVO</t>
        </is>
      </c>
      <c r="H171" s="37" t="inlineStr">
        <is>
          <t>23/12/2025</t>
        </is>
      </c>
      <c r="I171" s="14" t="inlineStr">
        <is>
          <t>8ªRE 
16/12/2025</t>
        </is>
      </c>
      <c r="J171" s="9" t="n">
        <v>45882</v>
      </c>
      <c r="K171" s="9" t="n">
        <v>45896</v>
      </c>
      <c r="L171" s="9" t="n">
        <v>45993</v>
      </c>
      <c r="M171" s="4" t="n"/>
      <c r="N171" s="18" t="n"/>
      <c r="O171" s="10" t="n"/>
      <c r="P171" s="4" t="n"/>
      <c r="Q171" s="4" t="inlineStr">
        <is>
          <t>Sim</t>
        </is>
      </c>
      <c r="R171" s="13" t="n"/>
      <c r="S171" s="4" t="n"/>
      <c r="T171" s="4" t="n"/>
      <c r="U171" s="7" t="n"/>
      <c r="V171" s="3" t="inlineStr">
        <is>
          <t>&lt;a href='http://alerjln1.alerj.rj.gov.br/scpro1923.nsf/18c1dd68f96be3e7832566ec0018d833/cfac07559150b568832584a900517878?OpenDocument'&gt; LINK&lt;/a&gt;</t>
        </is>
      </c>
      <c r="W171" s="3">
        <f>RIGHT(C171, 4)</f>
        <v/>
      </c>
      <c r="X171" s="3">
        <f>LEFT(C171, LEN(C171) - 5)</f>
        <v/>
      </c>
    </row>
    <row r="172" ht="75" customHeight="1" s="79">
      <c r="A172" s="2" t="inlineStr">
        <is>
          <t>Projeto Lei</t>
        </is>
      </c>
      <c r="B172" s="4">
        <f>RIGHT(C172,4)</f>
        <v/>
      </c>
      <c r="C172" s="2" t="inlineStr">
        <is>
          <t>157/2023</t>
        </is>
      </c>
      <c r="D172" s="2" t="inlineStr">
        <is>
          <t>DISPÕE SOBRE O RESSARCIMENTO EM DOBRO EM CASO DE COBRANÇA INDEVIDA AO CONSUMIDOR POR RESTAURANTES, LANCHONETES, BARES, BOATES E SIMILARES NO ÂMBITO DO ESTADO DO RIO DE JANEIRO.</t>
        </is>
      </c>
      <c r="E172" s="2" t="inlineStr">
        <is>
          <t>MÁRCIO CANELLA</t>
        </is>
      </c>
      <c r="F172" s="18" t="inlineStr">
        <is>
          <t>CARLOS MACEDO</t>
        </is>
      </c>
      <c r="G172" s="10" t="n"/>
      <c r="H172" s="37" t="n"/>
      <c r="I172" s="14" t="n"/>
      <c r="J172" s="9" t="n">
        <v>45882</v>
      </c>
      <c r="K172" s="9" t="n">
        <v>45896</v>
      </c>
      <c r="L172" s="9" t="n"/>
      <c r="M172" s="4" t="n"/>
      <c r="N172" s="18" t="n"/>
      <c r="O172" s="10" t="n"/>
      <c r="P172" s="4" t="n"/>
      <c r="Q172" s="4" t="inlineStr">
        <is>
          <t>Com Relator</t>
        </is>
      </c>
      <c r="R172" s="13" t="n"/>
      <c r="S172" s="4" t="n"/>
      <c r="T172" s="4" t="n"/>
      <c r="U172" s="7" t="n"/>
      <c r="V172" s="3" t="inlineStr">
        <is>
          <t>&lt;a href='http://alerjln1.alerj.rj.gov.br/scpro2327.nsf/18c1dd68f96be3e7832566ec0018d833/1e873a828f5512cd0325894f0054a2d5?OpenDocument'&gt; LINK&lt;/a&gt;</t>
        </is>
      </c>
      <c r="W172" s="3">
        <f>RIGHT(C172, 4)</f>
        <v/>
      </c>
      <c r="X172" s="3">
        <f>LEFT(C172, LEN(C172) - 5)</f>
        <v/>
      </c>
    </row>
    <row r="173" ht="60" customHeight="1" s="79">
      <c r="A173" s="2" t="inlineStr">
        <is>
          <t>Projeto Lei</t>
        </is>
      </c>
      <c r="B173" s="4">
        <f>RIGHT(C173,4)</f>
        <v/>
      </c>
      <c r="C173" s="2" t="inlineStr">
        <is>
          <t>6265/2022</t>
        </is>
      </c>
      <c r="D173" s="2" t="inlineStr">
        <is>
          <t>PROÍBE ACESSO DE CRIANÇAS E ADOLESCENTES A ESTABELECIMENTOS QUE COMERCIALIZEM PRODUTOS COM CONOTAÇÃO SEXUAL OU ERÓTICA, E DÁ OUTRAS PROVIDÊNCIAS.</t>
        </is>
      </c>
      <c r="E173" s="2" t="inlineStr">
        <is>
          <t>RODRIGO AMORIM</t>
        </is>
      </c>
      <c r="F173" s="18" t="inlineStr">
        <is>
          <t>RENATO MIRANDA</t>
        </is>
      </c>
      <c r="G173" s="10" t="inlineStr">
        <is>
          <t>FAVORÁVEL</t>
        </is>
      </c>
      <c r="H173" s="37" t="inlineStr">
        <is>
          <t>26/02/2026</t>
        </is>
      </c>
      <c r="I173" s="14" t="inlineStr">
        <is>
          <t>8ªRE 
16/12/2025</t>
        </is>
      </c>
      <c r="J173" s="9" t="n">
        <v>45882</v>
      </c>
      <c r="K173" s="9" t="n">
        <v>45896</v>
      </c>
      <c r="L173" s="9" t="n">
        <v>45930</v>
      </c>
      <c r="M173" s="4" t="n"/>
      <c r="N173" s="18" t="n"/>
      <c r="O173" s="10" t="n"/>
      <c r="P173" s="4" t="n"/>
      <c r="Q173" s="4" t="inlineStr">
        <is>
          <t>Sim</t>
        </is>
      </c>
      <c r="R173" s="13" t="n"/>
      <c r="S173" s="4" t="n"/>
      <c r="T173" s="4" t="n"/>
      <c r="U173" s="7" t="n"/>
      <c r="V173" s="3" t="inlineStr">
        <is>
          <t>&lt;a href='http://alerjln1.alerj.rj.gov.br/scpro1923.nsf/18c1dd68f96be3e7832566ec0018d833/3e63a676ec47da5e0325889900562a8e?OpenDocument'&gt; LINK&lt;/a&gt;</t>
        </is>
      </c>
      <c r="W173" s="3">
        <f>RIGHT(C173, 4)</f>
        <v/>
      </c>
      <c r="X173" s="3">
        <f>LEFT(C173, LEN(C173) - 5)</f>
        <v/>
      </c>
    </row>
    <row r="174" ht="75" customHeight="1" s="79">
      <c r="A174" s="2" t="inlineStr">
        <is>
          <t>Projeto Lei</t>
        </is>
      </c>
      <c r="B174" s="4">
        <f>RIGHT(C174,4)</f>
        <v/>
      </c>
      <c r="C174" s="73" t="inlineStr">
        <is>
          <t>1558/2023</t>
        </is>
      </c>
      <c r="D174" s="2" t="inlineStr">
        <is>
          <t>DISPÕE SOBRE A IMPLANTAÇÃO DAS SALAS DE APOIO AO ALEITAMENTO MATERNO JUNTO AS UNIDADES BÁSICAS DE SAÚDE, NO ÂMBITO DO ESTADO DO RIO DE JANEIRO.</t>
        </is>
      </c>
      <c r="E174" s="2" t="inlineStr">
        <is>
          <t>ROSENVERG REIS</t>
        </is>
      </c>
      <c r="F174" s="18" t="inlineStr">
        <is>
          <t>ALEXANDRE KNOPLOCH</t>
        </is>
      </c>
      <c r="G174" s="10" t="inlineStr">
        <is>
          <t>FAVORÁVEL COM AS EMENDAS  DA COMISSÃO DE CONSTITUIÇÃO E JUSTIÇA</t>
        </is>
      </c>
      <c r="H174" s="37" t="inlineStr">
        <is>
          <t>23/09/2025</t>
        </is>
      </c>
      <c r="I174" s="14" t="inlineStr">
        <is>
          <t>6ªRE
02/09/2025</t>
        </is>
      </c>
      <c r="J174" s="9" t="n"/>
      <c r="K174" s="4" t="n"/>
      <c r="L174" s="9" t="n">
        <v>45882</v>
      </c>
      <c r="M174" s="4" t="n"/>
      <c r="N174" s="18" t="n"/>
      <c r="O174" s="10" t="n"/>
      <c r="P174" s="4" t="n"/>
      <c r="Q174" s="4" t="inlineStr">
        <is>
          <t>Não</t>
        </is>
      </c>
      <c r="R174" s="13" t="n"/>
      <c r="S174" s="4" t="n"/>
      <c r="T174" s="4" t="n"/>
      <c r="U174" s="7" t="n"/>
      <c r="V174" s="3" t="inlineStr">
        <is>
          <t>http://alerjln1.alerj.rj.gov.br/scpro2327.nsf/18c1dd68f96be3e7832566ec0018d833/0b9cba3bc54e0d42032589fe0054dc36?OpenDocument</t>
        </is>
      </c>
      <c r="W174" s="3">
        <f>RIGHT(C174, 4)</f>
        <v/>
      </c>
      <c r="X174" s="3">
        <f>LEFT(C174, LEN(C174) - 5)</f>
        <v/>
      </c>
    </row>
    <row r="175" ht="105" customHeight="1" s="79">
      <c r="A175" s="2" t="inlineStr">
        <is>
          <t>Projeto Lei</t>
        </is>
      </c>
      <c r="B175" s="4">
        <f>RIGHT(C175,4)</f>
        <v/>
      </c>
      <c r="C175" s="73" t="inlineStr">
        <is>
          <t>EP 1200/2015</t>
        </is>
      </c>
      <c r="D175" s="2" t="inlineStr">
        <is>
          <t>AUTORIZA O PODER EXECUTIVO A CRIAR O NÚCLEO EDUCACIONAL DE PREVENÇÃO E COMBATE AO CONSUMO DE DROGAS NA REDE ESTADUAL DE EDUCAÇÃO DO RIO DE JANEIRO.</t>
        </is>
      </c>
      <c r="E175" s="2" t="inlineStr">
        <is>
          <t>COMISSÃO PARLAMENTAR DE INQUÉRITO INSTITUÍDA PELA RESOLUÇÃO Nº 03/2015</t>
        </is>
      </c>
      <c r="F175" s="18" t="inlineStr">
        <is>
          <t>ANDRÉ CORRÊA</t>
        </is>
      </c>
      <c r="G175" s="10" t="inlineStr">
        <is>
          <t>FAVORÁVEL COM SUBEMENDA À EMENDA 02, FAVORÁVEL ÀS EMENDAS 01, 03 e 05, CONTRÁRIO À EMENDA 04</t>
        </is>
      </c>
      <c r="H175" s="37" t="inlineStr">
        <is>
          <t>11/02/2026</t>
        </is>
      </c>
      <c r="I175" s="14" t="inlineStr">
        <is>
          <t>8ªRE 
16/12/2025</t>
        </is>
      </c>
      <c r="J175" s="9" t="n">
        <v>45902</v>
      </c>
      <c r="K175" s="4" t="n"/>
      <c r="L175" s="17" t="n">
        <v>45882</v>
      </c>
      <c r="M175" s="9" t="n">
        <v>46086</v>
      </c>
      <c r="N175" s="18" t="inlineStr">
        <is>
          <t>CÉLIA JORDÃO</t>
        </is>
      </c>
      <c r="O175" s="10" t="inlineStr">
        <is>
          <t>FAVORÁVEL COM SUBEMENDA À EMENDA 02, FAVORÁVEL ÀS EMENDAS 01, 03 E 05, CONTRÁRIO À EMENDA 04</t>
        </is>
      </c>
      <c r="P175" s="9" t="n">
        <v>45953</v>
      </c>
      <c r="Q175" s="12" t="inlineStr">
        <is>
          <t>Não</t>
        </is>
      </c>
      <c r="R175" s="13" t="inlineStr">
        <is>
          <t>VISTA DE CÉLIA JORDÃO EM 02-SET
ANDRÉ ACATOU AS EMENDAS DA CÉLIA</t>
        </is>
      </c>
      <c r="S175" s="4" t="n"/>
      <c r="T175" s="4" t="n"/>
      <c r="U175" s="7" t="n"/>
      <c r="V175" s="3" t="inlineStr">
        <is>
          <t>&lt;a href='http://alerjln1.alerj.rj.gov.br/scpro1519.nsf/18c1dd68f96be3e7832566ec0018d833/a9850cec7d4eb49b83257f0e0041a13d?OpenDocument'&gt; LINK&lt;/a&gt;</t>
        </is>
      </c>
      <c r="W175" s="3">
        <f>RIGHT(C175, 4)</f>
        <v/>
      </c>
      <c r="X175" s="3">
        <f>LEFT(C175, LEN(C175) - 5)</f>
        <v/>
      </c>
    </row>
    <row r="176" ht="150" customHeight="1" s="79">
      <c r="A176" s="2" t="inlineStr">
        <is>
          <t>Projeto Lei</t>
        </is>
      </c>
      <c r="B176" s="4">
        <f>RIGHT(C176,4)</f>
        <v/>
      </c>
      <c r="C176" s="73" t="inlineStr">
        <is>
          <t>EP 326/2011</t>
        </is>
      </c>
      <c r="D176" s="2" t="inlineStr">
        <is>
          <t>TORNA OBRIGATÓRIO O PLANEJAMENTO PRÉVIO E EFETIVO TREINAMENTO PARA EVACUAÇÕES EMERGENCIAIS NA REDE DE ENSINO PÚBLICO E PARTICULAR DO ESTADO DO RIO DE JANEIRO.</t>
        </is>
      </c>
      <c r="E176" s="2" t="inlineStr">
        <is>
          <t>ÁTILA NUNES</t>
        </is>
      </c>
      <c r="F176" s="18" t="inlineStr">
        <is>
          <t>ANDRÉ CORRÊA</t>
        </is>
      </c>
      <c r="G176" s="10" t="inlineStr">
        <is>
          <t>FAVORÁVEL</t>
        </is>
      </c>
      <c r="H176" s="37" t="inlineStr">
        <is>
          <t>27/02/2026</t>
        </is>
      </c>
      <c r="I176" s="14" t="inlineStr">
        <is>
          <t>8ªRE 
16/12/2025</t>
        </is>
      </c>
      <c r="J176" s="9" t="n"/>
      <c r="K176" s="4" t="n"/>
      <c r="L176" s="17" t="n">
        <v>45883</v>
      </c>
      <c r="M176" s="9" t="n">
        <v>46085</v>
      </c>
      <c r="N176" s="18" t="inlineStr">
        <is>
          <t>CÉLIA JORDÃO</t>
        </is>
      </c>
      <c r="O176" s="10" t="inlineStr">
        <is>
          <t>FAVORÁVEL, COM EMENDAS</t>
        </is>
      </c>
      <c r="P176" s="9" t="n">
        <v>45953</v>
      </c>
      <c r="Q176" s="12" t="inlineStr">
        <is>
          <t>Não</t>
        </is>
      </c>
      <c r="R176" s="13" t="inlineStr">
        <is>
          <t>VISTA DE CÉLIA JORDÃO EM 02-SET
ANDRÉ ACATOU AS EMENDAS DA CÉLIA
25-02-2026: Foi verificado que ambos os pareceres foram ao Projeto e não à Emenda. Vou precisar republicar (publicado primeiramente em 11/02/2026)
Entregue a Carla Scofano em 04/03 com a nova conclusão</t>
        </is>
      </c>
      <c r="S176" s="4" t="n"/>
      <c r="T176" s="4" t="n"/>
      <c r="U176" s="7" t="n"/>
      <c r="V176" s="3" t="inlineStr">
        <is>
          <t>&lt;a href='http://alerjln1.alerj.rj.gov.br/scpro1115.nsf/18c1dd68f96be3e7832566ec0018d833/ee4cffbc56458931832578720050f60d?OpenDocument'&gt; LINK&lt;/a&gt;</t>
        </is>
      </c>
      <c r="W176" s="3">
        <f>RIGHT(C176, 4)</f>
        <v/>
      </c>
      <c r="X176" s="3">
        <f>LEFT(C176, LEN(C176) - 5)</f>
        <v/>
      </c>
    </row>
    <row r="177" ht="90" customHeight="1" s="79">
      <c r="A177" s="2" t="inlineStr">
        <is>
          <t>Projeto Lei</t>
        </is>
      </c>
      <c r="B177" s="4">
        <f>RIGHT(C177,4)</f>
        <v/>
      </c>
      <c r="C177" s="73" t="inlineStr">
        <is>
          <t>EP 1417/2012</t>
        </is>
      </c>
      <c r="D177" s="2" t="inlineStr">
        <is>
          <t>DISPÕE SOBRE A CRIAÇÃO DO “PROJETO GRAFITARTE” PARA UTILIZAÇÃO EM VIADUTOS, MUROS E PAREDES DE EQUIPAMENTOS PÚBLICOS NO ESTADO DO RIO DE 	JANEIRO</t>
        </is>
      </c>
      <c r="E177" s="2" t="inlineStr">
        <is>
          <t>ENFERMEIRA REJANE</t>
        </is>
      </c>
      <c r="F177" s="18" t="inlineStr">
        <is>
          <t xml:space="preserve">ANDRÉ CORRÊA
</t>
        </is>
      </c>
      <c r="G177" s="10" t="inlineStr">
        <is>
          <t>FAVORÁVEL COM SUBEMENDA À EMENDA MODIFICATIVA 01 E FAVORÁVEL À EMENDA 02</t>
        </is>
      </c>
      <c r="H177" s="37" t="inlineStr">
        <is>
          <t>11/02/2026</t>
        </is>
      </c>
      <c r="I177" s="14" t="inlineStr">
        <is>
          <t>8ªRE 
16/12/2025</t>
        </is>
      </c>
      <c r="J177" s="9" t="n"/>
      <c r="K177" s="4" t="n"/>
      <c r="L177" s="17" t="n">
        <v>45883</v>
      </c>
      <c r="M177" s="9" t="n">
        <v>46086</v>
      </c>
      <c r="N177" s="18" t="inlineStr">
        <is>
          <t>CÉLIA JORDÃO</t>
        </is>
      </c>
      <c r="O177" s="10" t="inlineStr">
        <is>
          <t>FAVORÁVEL COM SUBEMENDA À EMENDA MODIFICATIVA 01 E FAVORÁVEL À EMENDA 02</t>
        </is>
      </c>
      <c r="P177" s="9" t="n">
        <v>45953</v>
      </c>
      <c r="Q177" s="12" t="inlineStr">
        <is>
          <t>Não</t>
        </is>
      </c>
      <c r="R177" s="13" t="inlineStr">
        <is>
          <t>VISTA DE CÉLIA JORDÃO EM 02-SET
ANDRÉ ACATOU AS EMENDAS DA CÉLIA</t>
        </is>
      </c>
      <c r="S177" s="4" t="n"/>
      <c r="T177" s="4" t="n"/>
      <c r="U177" s="7" t="n"/>
      <c r="V177" s="3" t="inlineStr">
        <is>
          <t>&lt;a href='http://alerjln1.alerj.rj.gov.br/scpro1115.nsf/18c1dd68f96be3e7832566ec0018d833/55dc66a9f10618a9832579d1005a68b8?OpenDocument'&gt; LINK&lt;/a&gt;</t>
        </is>
      </c>
      <c r="W177" s="3">
        <f>RIGHT(C177, 4)</f>
        <v/>
      </c>
      <c r="X177" s="3">
        <f>LEFT(C177, LEN(C177) - 5)</f>
        <v/>
      </c>
    </row>
    <row r="178" ht="75" customHeight="1" s="79">
      <c r="A178" s="2" t="inlineStr">
        <is>
          <t>Projeto Lei</t>
        </is>
      </c>
      <c r="B178" s="4">
        <f>RIGHT(C178,4)</f>
        <v/>
      </c>
      <c r="C178" s="2" t="inlineStr">
        <is>
          <t>EP 4510/2018</t>
        </is>
      </c>
      <c r="D178" s="2" t="inlineStr">
        <is>
          <t>DISPÕE SOBRE A CRIAÇÃO DE PROGRAMA DE PREVENÇÃO DA SAÚDE DA DOENÇA DE FABRY, DOENÇA DE ANDERSON-FABRY OU DEFICIÊNCIA DE ALFA-GALACTOSIDASE A, NO ÂMBITO DO ESTADO DO RIO DE JANEIRO.</t>
        </is>
      </c>
      <c r="E178" s="2" t="inlineStr">
        <is>
          <t>ÁTILA NUNES</t>
        </is>
      </c>
      <c r="F178" s="18" t="inlineStr">
        <is>
          <t>ANDRÉ CORRÊA</t>
        </is>
      </c>
      <c r="G178" s="10" t="inlineStr">
        <is>
          <t>FAVORÁVEL ÀS EMENDAS 01 E 02 E CONTRÁRIO À EMENDA 03</t>
        </is>
      </c>
      <c r="H178" s="37" t="inlineStr">
        <is>
          <t>22/09/2025</t>
        </is>
      </c>
      <c r="I178" s="14" t="inlineStr">
        <is>
          <t>6ªRE
02/09/2025</t>
        </is>
      </c>
      <c r="J178" s="9" t="n"/>
      <c r="K178" s="4" t="n"/>
      <c r="L178" s="9" t="n">
        <v>45883</v>
      </c>
      <c r="M178" s="4" t="n"/>
      <c r="N178" s="18" t="n"/>
      <c r="O178" s="10" t="n"/>
      <c r="P178" s="4" t="n"/>
      <c r="Q178" s="19" t="inlineStr">
        <is>
          <t>Não</t>
        </is>
      </c>
      <c r="R178" s="13" t="inlineStr">
        <is>
          <t>publicado em 18/09/2025 e republicado no dia 22/09/2025</t>
        </is>
      </c>
      <c r="S178" s="4" t="n"/>
      <c r="T178" s="4" t="n"/>
      <c r="U178" s="7" t="n"/>
      <c r="V178" s="3" t="inlineStr">
        <is>
          <t>&lt;a href='http://alerjln1.alerj.rj.gov.br/scpro1519.nsf/18c1dd68f96be3e7832566ec0018d833/37d0902c51c794da0325835b0059ff26?OpenDocument'&gt; LINK&lt;/a&gt;</t>
        </is>
      </c>
      <c r="W178" s="3">
        <f>RIGHT(C178, 4)</f>
        <v/>
      </c>
      <c r="X178" s="3">
        <f>LEFT(C178, LEN(C178) - 5)</f>
        <v/>
      </c>
    </row>
    <row r="179" ht="75" customHeight="1" s="79">
      <c r="A179" s="2" t="inlineStr">
        <is>
          <t>Projeto Lei</t>
        </is>
      </c>
      <c r="B179" s="4">
        <f>RIGHT(C179,4)</f>
        <v/>
      </c>
      <c r="C179" s="2" t="inlineStr">
        <is>
          <t>EP 419/2015</t>
        </is>
      </c>
      <c r="D179" s="2" t="inlineStr">
        <is>
          <t>DISPÕE SOBRE A OBRIGATORIEDADE DE INCLUSÃO, EM UM PERCENTUAL MÍNIMO DE 10% (DEZ POR CENTO), DE ALIMENTOS ORGÂNICOS NA MERENDA FORNECIDA PELAS ESCOLAS DA REDE PÚBLICA ESTADUAL NO ÂMBITO DO ESTADO DO RIO DE JANEIRO.</t>
        </is>
      </c>
      <c r="E179" s="2" t="inlineStr">
        <is>
          <t>ANA PAULA RECHUAN,EDSON ALBERTASSI,SAMUEL MALAFAIA,TANIA RODRIGUES</t>
        </is>
      </c>
      <c r="F179" s="18" t="inlineStr">
        <is>
          <t>ANDRÉ CORRÊA</t>
        </is>
      </c>
      <c r="G179" s="10" t="inlineStr">
        <is>
          <t>FAVORÁVEL</t>
        </is>
      </c>
      <c r="H179" s="37" t="n"/>
      <c r="I179" s="14" t="inlineStr">
        <is>
          <t>8ªRE 
16/12/2025</t>
        </is>
      </c>
      <c r="J179" s="9" t="n">
        <v>45883</v>
      </c>
      <c r="K179" s="4" t="n"/>
      <c r="L179" s="9" t="n">
        <v>45883</v>
      </c>
      <c r="M179" s="4" t="n"/>
      <c r="N179" s="18" t="n"/>
      <c r="O179" s="10" t="n"/>
      <c r="P179" s="4" t="n"/>
      <c r="Q179" s="4" t="inlineStr">
        <is>
          <t>Sim</t>
        </is>
      </c>
      <c r="R179" s="13" t="inlineStr">
        <is>
          <t>Parecer estava incorreto, então foi retirado da pauta da 6ªRE de 02-09-2025</t>
        </is>
      </c>
      <c r="S179" s="4" t="n"/>
      <c r="T179" s="4" t="n"/>
      <c r="U179" s="7" t="n"/>
      <c r="V179" s="3" t="inlineStr">
        <is>
          <t>&lt;a href='http://alerjln1.alerj.rj.gov.br/scpro1519.nsf/18c1dd68f96be3e7832566ec0018d833/fb62e7c956314c8e83257e45004ce48d?OpenDocument'&gt; LINK&lt;/a&gt;</t>
        </is>
      </c>
      <c r="W179" s="3">
        <f>RIGHT(C179, 4)</f>
        <v/>
      </c>
      <c r="X179" s="3">
        <f>LEFT(C179, LEN(C179) - 5)</f>
        <v/>
      </c>
    </row>
    <row r="180" ht="120" customHeight="1" s="79">
      <c r="A180" s="2" t="inlineStr">
        <is>
          <t>Projeto Lei</t>
        </is>
      </c>
      <c r="B180" s="4">
        <f>RIGHT(C180,4)</f>
        <v/>
      </c>
      <c r="C180" s="2" t="inlineStr">
        <is>
          <t>EP 3052/2020</t>
        </is>
      </c>
      <c r="D180" s="2" t="inlineStr">
        <is>
          <t>DISPÕE SOBRE A DIVULGAÇÃO, MEDIANTE INFORMATIVOS AFIXADOS EM SALÕES DE CABELEIREIROS, DOS PROGRAMAS DE DOAÇÃO DE CABELOS PARA PACIENTES EM TRATAMENTO DE CÂNCER.</t>
        </is>
      </c>
      <c r="E180" s="2" t="inlineStr">
        <is>
          <t>DR DEODALTO</t>
        </is>
      </c>
      <c r="F180" s="18" t="inlineStr">
        <is>
          <t>ANDRÉ CORRÊA</t>
        </is>
      </c>
      <c r="G180" s="10" t="inlineStr">
        <is>
          <t>FAVORÁVEL ÀS EMENDAS 01, 02, 03 E 05; PREJUDICADA À EMENDA 06 PELA EMENDA 01 E CONTRÁRIO À EMENDA 04</t>
        </is>
      </c>
      <c r="H180" s="37" t="inlineStr">
        <is>
          <t>11/02/2026</t>
        </is>
      </c>
      <c r="I180" s="14" t="inlineStr">
        <is>
          <t>8ªRE 
16/12/2025</t>
        </is>
      </c>
      <c r="J180" s="9" t="n">
        <v>45883</v>
      </c>
      <c r="K180" s="9" t="n"/>
      <c r="L180" s="17" t="n">
        <v>45883</v>
      </c>
      <c r="M180" s="9" t="n">
        <v>46086</v>
      </c>
      <c r="N180" s="18" t="inlineStr">
        <is>
          <t>CÉLIA JORDÃO</t>
        </is>
      </c>
      <c r="O180" s="10" t="inlineStr">
        <is>
          <t>FAVORÁVEL ÀS EMENDAS 01, 02, 03 E 05; PREJUDICADA À EMENDA 06 PELA EMENDA 01 E CONTRÁRIO À EMENDA 04</t>
        </is>
      </c>
      <c r="P180" s="9" t="n">
        <v>45953</v>
      </c>
      <c r="Q180" s="12" t="inlineStr">
        <is>
          <t>Não</t>
        </is>
      </c>
      <c r="R180" s="13" t="inlineStr">
        <is>
          <t>VISTA DE CÉLIA JORDÃO EM 02-SET
ANDRÉ ACATOU AS EMENDAS DA CÉLIA</t>
        </is>
      </c>
      <c r="S180" s="4" t="n"/>
      <c r="T180" s="4" t="n"/>
      <c r="U180" s="7" t="n"/>
      <c r="V180" s="3" t="inlineStr">
        <is>
          <t>&lt;a href='http://alerjln1.alerj.rj.gov.br/scpro1923.nsf/18c1dd68f96be3e7832566ec0018d833/df60931681f8a753032585d000613eca?OpenDocument'&gt; LINK&lt;/a&gt;</t>
        </is>
      </c>
      <c r="W180" s="3">
        <f>RIGHT(C180, 4)</f>
        <v/>
      </c>
      <c r="X180" s="3">
        <f>LEFT(C180, LEN(C180) - 5)</f>
        <v/>
      </c>
    </row>
    <row r="181" ht="45" customHeight="1" s="79">
      <c r="A181" s="2" t="inlineStr">
        <is>
          <t>Projeto Lei</t>
        </is>
      </c>
      <c r="B181" s="4">
        <f>RIGHT(C181,4)</f>
        <v/>
      </c>
      <c r="C181" s="2" t="inlineStr">
        <is>
          <t>6149/2022</t>
        </is>
      </c>
      <c r="D181" s="2" t="inlineStr">
        <is>
          <t>CRIA O PROGRAMA ESTADUAL DE INCENTIVO À PESQUISA DA ANCESTRALIDADE AFRICANA E INDÍGENA</t>
        </is>
      </c>
      <c r="E181" s="2" t="inlineStr">
        <is>
          <t>CARLOS MINC</t>
        </is>
      </c>
      <c r="F181" s="18" t="inlineStr">
        <is>
          <t>ANDRÉ CORRÊA</t>
        </is>
      </c>
      <c r="G181" s="10" t="inlineStr">
        <is>
          <t>FAVORÁVEL</t>
        </is>
      </c>
      <c r="H181" s="37" t="inlineStr">
        <is>
          <t>27/02/2026</t>
        </is>
      </c>
      <c r="I181" s="14" t="inlineStr">
        <is>
          <t>1ªRE 
24/02/2026</t>
        </is>
      </c>
      <c r="J181" s="9" t="n">
        <v>45883</v>
      </c>
      <c r="K181" s="9" t="n">
        <v>45699</v>
      </c>
      <c r="L181" s="9" t="n"/>
      <c r="M181" s="37" t="inlineStr">
        <is>
          <t>27/02/2026</t>
        </is>
      </c>
      <c r="N181" s="4" t="n"/>
      <c r="O181" s="4" t="n"/>
      <c r="P181" s="4" t="n"/>
      <c r="Q181" s="4" t="inlineStr">
        <is>
          <t>Não</t>
        </is>
      </c>
      <c r="R181" s="13" t="inlineStr">
        <is>
          <t>ALEXANDRE KNOPLOCH (EM 27/08/2025) / ANDRÉ AVOCOU EM 11-02</t>
        </is>
      </c>
      <c r="S181" s="4" t="n"/>
      <c r="T181" s="4" t="n"/>
      <c r="U181" s="7" t="n"/>
      <c r="V181" s="3" t="inlineStr">
        <is>
          <t>&lt;a href='http://alerjln1.alerj.rj.gov.br/scpro1923.nsf/18c1dd68f96be3e7832566ec0018d833/58c06d580e4da27703258871005e6247?OpenDocument'&gt; LINK&lt;/a&gt;</t>
        </is>
      </c>
      <c r="W181" s="3">
        <f>RIGHT(C181, 4)</f>
        <v/>
      </c>
      <c r="X181" s="3">
        <f>LEFT(C181, LEN(C181) - 5)</f>
        <v/>
      </c>
    </row>
    <row r="182" ht="105" customHeight="1" s="79">
      <c r="A182" s="2" t="inlineStr">
        <is>
          <t>Projeto Lei</t>
        </is>
      </c>
      <c r="B182" s="4">
        <f>RIGHT(C182,4)</f>
        <v/>
      </c>
      <c r="C182" s="2" t="inlineStr">
        <is>
          <t>71/2023</t>
        </is>
      </c>
      <c r="D182" s="2" t="inlineStr">
        <is>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is>
      </c>
      <c r="E182" s="2" t="inlineStr">
        <is>
          <t>VERONICA LIMA</t>
        </is>
      </c>
      <c r="F182" s="18" t="inlineStr">
        <is>
          <t>ALEXANDRE KNOPLOCH</t>
        </is>
      </c>
      <c r="G182" s="10" t="n"/>
      <c r="H182" s="37" t="n"/>
      <c r="I182" s="14" t="n"/>
      <c r="J182" s="9" t="n">
        <v>45883</v>
      </c>
      <c r="K182" s="9" t="n">
        <v>45896</v>
      </c>
      <c r="L182" s="9" t="n"/>
      <c r="M182" s="4" t="n"/>
      <c r="N182" s="4" t="n"/>
      <c r="O182" s="4" t="n"/>
      <c r="P182" s="4" t="n"/>
      <c r="Q182" s="4" t="inlineStr">
        <is>
          <t>Com Relator</t>
        </is>
      </c>
      <c r="R182" s="13" t="n"/>
      <c r="S182" s="4" t="n"/>
      <c r="T182" s="4" t="n"/>
      <c r="U182" s="7" t="n"/>
      <c r="V182" s="3" t="inlineStr">
        <is>
          <t>&lt;a href='http://alerjln1.alerj.rj.gov.br/scpro2327.nsf/18c1dd68f96be3e7832566ec0018d833/b865dadfc7cd531d032589490065ae01?OpenDocument'&gt; LINK&lt;/a&gt;</t>
        </is>
      </c>
      <c r="W182" s="3">
        <f>RIGHT(C182, 4)</f>
        <v/>
      </c>
      <c r="X182" s="3">
        <f>LEFT(C182, LEN(C182) - 5)</f>
        <v/>
      </c>
    </row>
    <row r="183" ht="75" customHeight="1" s="79">
      <c r="A183" s="2" t="inlineStr">
        <is>
          <t>Projeto Lei</t>
        </is>
      </c>
      <c r="B183" s="4">
        <f>RIGHT(C183,4)</f>
        <v/>
      </c>
      <c r="C183" s="2" t="inlineStr">
        <is>
          <t>433/2023</t>
        </is>
      </c>
      <c r="D183" s="2" t="inlineStr">
        <is>
          <t>ALTERA A LEI Nº 5.848, DE 28 DE DEZEMBRO DE 2010, PARA CRIAR O PROGRAMA DE FONOAUDIOLOGIA EDUCACIONAL "DESTRAVA LÍNGUA" NA REDE DE ENSINO PÚBLICA E PRIVADA  DO ESTADO DO RIO DE JANEIRO.</t>
        </is>
      </c>
      <c r="E183" s="2" t="inlineStr">
        <is>
          <t>MÁRCIO CANELLA</t>
        </is>
      </c>
      <c r="F183" s="18" t="inlineStr">
        <is>
          <t>ZEIDAN</t>
        </is>
      </c>
      <c r="G183" s="10" t="n"/>
      <c r="H183" s="37" t="n"/>
      <c r="I183" s="14" t="n"/>
      <c r="J183" s="9" t="n">
        <v>45883</v>
      </c>
      <c r="K183" s="9" t="n">
        <v>45896</v>
      </c>
      <c r="L183" s="9" t="n"/>
      <c r="M183" s="4" t="n"/>
      <c r="N183" s="4" t="n"/>
      <c r="O183" s="4" t="n"/>
      <c r="P183" s="4" t="n"/>
      <c r="Q183" s="4" t="inlineStr">
        <is>
          <t>Com Relator</t>
        </is>
      </c>
      <c r="R183" s="13" t="n"/>
      <c r="S183" s="4" t="n"/>
      <c r="T183" s="4" t="n"/>
      <c r="U183" s="7" t="n"/>
      <c r="V183" s="3" t="inlineStr">
        <is>
          <t>&lt;a href='http://alerjln1.alerj.rj.gov.br/scpro2327.nsf/18c1dd68f96be3e7832566ec0018d833/dcb887548393677203258972005de18c?OpenDocument'&gt; LINK&lt;/a&gt;</t>
        </is>
      </c>
      <c r="W183" s="3">
        <f>RIGHT(C183, 4)</f>
        <v/>
      </c>
      <c r="X183" s="3">
        <f>LEFT(C183, LEN(C183) - 5)</f>
        <v/>
      </c>
    </row>
    <row r="184" ht="75" customHeight="1" s="79">
      <c r="A184" s="2" t="inlineStr">
        <is>
          <t>Projeto Lei</t>
        </is>
      </c>
      <c r="B184" s="4">
        <f>RIGHT(C184,4)</f>
        <v/>
      </c>
      <c r="C184" s="2" t="inlineStr">
        <is>
          <t>2012/2023</t>
        </is>
      </c>
      <c r="D184" s="2" t="inlineStr">
        <is>
          <t>ALTERA A LEI 5.645, DE 06 DE JANEIRO DE 2010, PARA INCLUIR NO CALENDÁRIO DO ESTADO DO RIO DE JANEIRO, A SEMANA ESTADUAL EM CELEBRAÇÃO E DEFESA DAS UNIVERSIDADES PÚBLICAS ESTADUAIS DO ESTADO DO RIO DE JANEIRO.</t>
        </is>
      </c>
      <c r="E184" s="2" t="inlineStr">
        <is>
          <t>MARINA DO MST</t>
        </is>
      </c>
      <c r="F184" s="18" t="inlineStr">
        <is>
          <t>ALEXANDRE KNOPLOCH</t>
        </is>
      </c>
      <c r="G184" s="10" t="inlineStr">
        <is>
          <t>FAVORÁVEL COM O SUBSTITUTIVO DA COMISSÃO DE CONSTITUIÇÃO E JUSTIÇA</t>
        </is>
      </c>
      <c r="H184" s="37" t="inlineStr">
        <is>
          <t>20/02/2026</t>
        </is>
      </c>
      <c r="I184" s="14" t="inlineStr">
        <is>
          <t>8ªRE 
16/12/2025</t>
        </is>
      </c>
      <c r="J184" s="9" t="n">
        <v>45883</v>
      </c>
      <c r="K184" s="9" t="n">
        <v>45896</v>
      </c>
      <c r="L184" s="9" t="n">
        <v>45979</v>
      </c>
      <c r="M184" s="9" t="n">
        <v>46076</v>
      </c>
      <c r="N184" s="4" t="n"/>
      <c r="O184" s="4" t="n"/>
      <c r="P184" s="4" t="n"/>
      <c r="Q184" s="4" t="inlineStr">
        <is>
          <t>Não</t>
        </is>
      </c>
      <c r="R184" s="13" t="n"/>
      <c r="S184" s="4" t="n"/>
      <c r="T184" s="4" t="n"/>
      <c r="U184" s="7" t="n"/>
      <c r="V184" s="3" t="inlineStr">
        <is>
          <t>&lt;a href='http://alerjln1.alerj.rj.gov.br/scpro2327.nsf/18c1dd68f96be3e7832566ec0018d833/ac4836eee81931ef03258a28004dc6db?OpenDocument'&gt; LINK&lt;/a&gt;</t>
        </is>
      </c>
      <c r="W184" s="3">
        <f>RIGHT(C184, 4)</f>
        <v/>
      </c>
      <c r="X184" s="3">
        <f>LEFT(C184, LEN(C184) - 5)</f>
        <v/>
      </c>
    </row>
    <row r="185" ht="75" customHeight="1" s="79">
      <c r="A185" s="2" t="inlineStr">
        <is>
          <t>Projeto Lei</t>
        </is>
      </c>
      <c r="B185" s="4">
        <f>RIGHT(C185,4)</f>
        <v/>
      </c>
      <c r="C185" s="2" t="inlineStr">
        <is>
          <t>2975/2024</t>
        </is>
      </c>
      <c r="D185" s="2" t="inlineStr">
        <is>
          <t>INSTITUI O BALCÃO VIRTUAL NOS ÓRGÃOS PÚBLICOS DO ESTADO DO RIO DE JANEIRO, COM A INTERAÇÃO POR VIDEOCONFERÊNCIA DO ENTE PÚBLICO E USUÁRIOS PARTICULARES</t>
        </is>
      </c>
      <c r="E185" s="2" t="inlineStr">
        <is>
          <t>ELTON CRISTO</t>
        </is>
      </c>
      <c r="F185" s="18" t="inlineStr">
        <is>
          <t>LUIZ PAULO</t>
        </is>
      </c>
      <c r="G185" s="10" t="inlineStr">
        <is>
          <t>FAVORÁVEL COM AS EMENDAS DA COMISSÃO DE CONSTITUIÇÃO E JUSTIÇA</t>
        </is>
      </c>
      <c r="H185" s="37" t="inlineStr">
        <is>
          <t>27/02/2026</t>
        </is>
      </c>
      <c r="I185" s="14" t="inlineStr">
        <is>
          <t>1ªRE 
24/02/2026</t>
        </is>
      </c>
      <c r="J185" s="9" t="n">
        <v>45883</v>
      </c>
      <c r="K185" s="9" t="n">
        <v>45896</v>
      </c>
      <c r="L185" s="9" t="n">
        <v>46065</v>
      </c>
      <c r="M185" s="37" t="inlineStr">
        <is>
          <t>27/02/2026</t>
        </is>
      </c>
      <c r="N185" s="4" t="n"/>
      <c r="O185" s="4" t="n"/>
      <c r="P185" s="4" t="n"/>
      <c r="Q185" s="4" t="inlineStr">
        <is>
          <t>Não</t>
        </is>
      </c>
      <c r="R185" s="13" t="n"/>
      <c r="S185" s="4" t="n"/>
      <c r="T185" s="4" t="n"/>
      <c r="U185" s="7" t="n"/>
      <c r="V185" s="3" t="inlineStr">
        <is>
          <t>&lt;a href='http://alerjln1.alerj.rj.gov.br/scpro2327.nsf/18c1dd68f96be3e7832566ec0018d833/0dff21b9d1e8b83b03258ac9006594b8?OpenDocument'&gt; LINK&lt;/a&gt;</t>
        </is>
      </c>
      <c r="W185" s="3">
        <f>RIGHT(C185, 4)</f>
        <v/>
      </c>
      <c r="X185" s="3">
        <f>LEFT(C185, LEN(C185) - 5)</f>
        <v/>
      </c>
    </row>
    <row r="186" ht="60" customHeight="1" s="79">
      <c r="A186" s="2" t="inlineStr">
        <is>
          <t>Projeto Lei</t>
        </is>
      </c>
      <c r="B186" s="4" t="n">
        <v>34</v>
      </c>
      <c r="C186" s="73" t="inlineStr">
        <is>
          <t>1643/2019</t>
        </is>
      </c>
      <c r="D186" s="2" t="inlineStr">
        <is>
          <t>INSTITUI A OUVIDORIA ESPECIAL SOBRE VIOLÊNCIA OBSTÉTRICA NO ÂMBITO DO ESTADO DO RIO DE JANEIRO E DÁ OUTRAS PROVIDÊNCIAS</t>
        </is>
      </c>
      <c r="E186" s="2" t="inlineStr">
        <is>
          <t>COMISSÃO PARLAMENTAR DE INQUÉRITO INSTITUÍDA PELA RESOLUÇÃO Nº 05/2019</t>
        </is>
      </c>
      <c r="F186" s="18" t="inlineStr">
        <is>
          <t>ZEIDAN</t>
        </is>
      </c>
      <c r="G186" s="10" t="inlineStr">
        <is>
          <t>FAVORÁVEL</t>
        </is>
      </c>
      <c r="H186" s="37" t="n"/>
      <c r="I186" s="14" t="inlineStr">
        <is>
          <t>PRÓXIMA</t>
        </is>
      </c>
      <c r="J186" s="9" t="n">
        <v>45883</v>
      </c>
      <c r="K186" s="9" t="n">
        <v>45896</v>
      </c>
      <c r="L186" s="9" t="n">
        <v>46111</v>
      </c>
      <c r="M186" s="4" t="n"/>
      <c r="N186" s="4" t="n"/>
      <c r="O186" s="4" t="n"/>
      <c r="P186" s="4" t="n"/>
      <c r="Q186" s="4" t="inlineStr">
        <is>
          <t>Sim</t>
        </is>
      </c>
      <c r="R186" s="13" t="n"/>
      <c r="S186" s="4" t="n"/>
      <c r="T186" s="4" t="n"/>
      <c r="U186" s="7" t="n"/>
      <c r="V186" s="3" t="inlineStr">
        <is>
          <t>&lt;a href='http://alerjln1.alerj.rj.gov.br/scpro1923.nsf/18c1dd68f96be3e7832566ec0018d833/5307dcb1aa64d485832584b000662086?OpenDocument'&gt; LINK&lt;/a&gt;</t>
        </is>
      </c>
      <c r="W186" s="3">
        <f>RIGHT(C186, 4)</f>
        <v/>
      </c>
      <c r="X186" s="3">
        <f>LEFT(C186, LEN(C186) - 5)</f>
        <v/>
      </c>
    </row>
    <row r="187" ht="75" customHeight="1" s="79">
      <c r="A187" s="2" t="inlineStr">
        <is>
          <t>Projeto Lei</t>
        </is>
      </c>
      <c r="B187" s="4">
        <f>RIGHT(C187,4)</f>
        <v/>
      </c>
      <c r="C187" s="73" t="inlineStr">
        <is>
          <t>3371/2020</t>
        </is>
      </c>
      <c r="D187" s="2" t="inlineStr">
        <is>
          <t>INSTITUI A POLÍTICA ESTADUAL DE ATENÇÃO À ONCOLOGIA PEDIÁTRICA NO ÂMBITO DO ESTADO DO RIO DE JANEIRO.</t>
        </is>
      </c>
      <c r="E187" s="2" t="inlineStr">
        <is>
          <t>DANNIEL LIBRELON</t>
        </is>
      </c>
      <c r="F187" s="18" t="inlineStr">
        <is>
          <t>LUIZ PAULO</t>
        </is>
      </c>
      <c r="G187" s="10" t="inlineStr">
        <is>
          <t>FAVORÁVEL COM A EMENDA DA COMISSÃO DE CONSTITUIÇÃO E JUSTIÇA</t>
        </is>
      </c>
      <c r="H187" s="37" t="inlineStr">
        <is>
          <t>20/02/2026</t>
        </is>
      </c>
      <c r="I187" s="14" t="inlineStr">
        <is>
          <t>8ªRE 
16/12/2025</t>
        </is>
      </c>
      <c r="J187" s="9" t="n">
        <v>45883</v>
      </c>
      <c r="K187" s="9" t="n">
        <v>45896</v>
      </c>
      <c r="L187" s="9" t="n">
        <v>45988</v>
      </c>
      <c r="M187" s="9" t="n">
        <v>46076</v>
      </c>
      <c r="N187" s="4" t="n"/>
      <c r="O187" s="4" t="n"/>
      <c r="P187" s="4" t="n"/>
      <c r="Q187" s="4" t="inlineStr">
        <is>
          <t>Não</t>
        </is>
      </c>
      <c r="R187" s="13" t="n"/>
      <c r="S187" s="4" t="n"/>
      <c r="T187" s="4" t="n"/>
      <c r="U187" s="7" t="n"/>
      <c r="V187" s="3" t="inlineStr">
        <is>
          <t>&lt;a href='http://alerjln1.alerj.rj.gov.br/scpro1923.nsf/18c1dd68f96be3e7832566ec0018d833/42d7dca1ac36105a0325862c005bd370?OpenDocument'&gt; LINK&lt;/a&gt;</t>
        </is>
      </c>
      <c r="W187" s="3">
        <f>RIGHT(C187, 4)</f>
        <v/>
      </c>
      <c r="X187" s="3">
        <f>LEFT(C187, LEN(C187) - 5)</f>
        <v/>
      </c>
    </row>
    <row r="188" ht="60" customHeight="1" s="79">
      <c r="A188" s="2" t="inlineStr">
        <is>
          <t>Projeto Lei</t>
        </is>
      </c>
      <c r="B188" s="4">
        <f>RIGHT(C188,4)</f>
        <v/>
      </c>
      <c r="C188" s="2" t="inlineStr">
        <is>
          <t>1071/2023</t>
        </is>
      </c>
      <c r="D188" s="2" t="inlineStr">
        <is>
          <t>DISPÕE SOBRE A IMPLANTAÇÃO DO SERVIÇO DE ATENDIMENTO MÓVEL OFTALMOLÓGICO NO ÂMBITO DOS ESTABELECIMENTOS PÚBLICOS DE ENSINO DO ESTADO DO RIO DE JANEIRO.</t>
        </is>
      </c>
      <c r="E188" s="2" t="inlineStr">
        <is>
          <t>ROSENVERG REIS</t>
        </is>
      </c>
      <c r="F188" s="18" t="inlineStr">
        <is>
          <t>ZEIDAN</t>
        </is>
      </c>
      <c r="G188" s="10" t="inlineStr">
        <is>
          <t>FAVORÁVEL</t>
        </is>
      </c>
      <c r="H188" s="37" t="inlineStr">
        <is>
          <t>19/09/2025</t>
        </is>
      </c>
      <c r="I188" s="14" t="inlineStr">
        <is>
          <t>6ªRE
02/09/2025</t>
        </is>
      </c>
      <c r="J188" s="9" t="n">
        <v>45887</v>
      </c>
      <c r="K188" s="4" t="n"/>
      <c r="L188" s="9" t="n">
        <v>45887</v>
      </c>
      <c r="M188" s="4" t="n"/>
      <c r="N188" s="4" t="n"/>
      <c r="O188" s="4" t="n"/>
      <c r="P188" s="4" t="n"/>
      <c r="Q188" s="4" t="inlineStr">
        <is>
          <t>Não</t>
        </is>
      </c>
      <c r="R188" s="13" t="n"/>
      <c r="S188" s="4" t="n"/>
      <c r="T188" s="4" t="n"/>
      <c r="U188" s="7" t="n"/>
      <c r="V188" s="3" t="inlineStr">
        <is>
          <t>&lt;a href='http://alerjln1.alerj.rj.gov.br/scpro2327.nsf/18c1dd68f96be3e7832566ec0018d833/3fd6369b62453fef032589b1004e19db?OpenDocument'&gt; LINK&lt;/a&gt;</t>
        </is>
      </c>
      <c r="W188" s="3">
        <f>RIGHT(C188, 4)</f>
        <v/>
      </c>
      <c r="X188" s="3">
        <f>LEFT(C188, LEN(C188) - 5)</f>
        <v/>
      </c>
    </row>
    <row r="189" ht="45" customHeight="1" s="79">
      <c r="A189" s="2" t="inlineStr">
        <is>
          <t>Projeto Lei</t>
        </is>
      </c>
      <c r="B189" s="4">
        <f>RIGHT(C189,4)</f>
        <v/>
      </c>
      <c r="C189" s="2" t="inlineStr">
        <is>
          <t>1524/2023</t>
        </is>
      </c>
      <c r="D189" s="2" t="inlineStr">
        <is>
          <t>DISPÕE SOBRE A INCLUSÃO DOS ACOMETIDOS DA SÍNDROME DE TOURETTE NA CONDIÇÃO DE PESSOAS COM DEFICIÊNCIA.</t>
        </is>
      </c>
      <c r="E189" s="2" t="inlineStr">
        <is>
          <t>ROSENVERG REIS</t>
        </is>
      </c>
      <c r="F189" s="18" t="n"/>
      <c r="G189" s="10" t="n"/>
      <c r="H189" s="37" t="n"/>
      <c r="I189" s="14" t="n"/>
      <c r="J189" s="9" t="n">
        <v>45887</v>
      </c>
      <c r="K189" s="9" t="n">
        <v>45896</v>
      </c>
      <c r="L189" s="9" t="n"/>
      <c r="M189" s="4" t="n"/>
      <c r="N189" s="4" t="n"/>
      <c r="O189" s="4" t="n"/>
      <c r="P189" s="4" t="n"/>
      <c r="Q189" s="4" t="inlineStr">
        <is>
          <t>Sim</t>
        </is>
      </c>
      <c r="R189" s="13" t="inlineStr">
        <is>
          <t>Estava com LUIZ PAULO mas peguei porque o mesmo saiu da Comissão (18/05/2026)</t>
        </is>
      </c>
      <c r="S189" s="4" t="n"/>
      <c r="T189" s="4" t="n"/>
      <c r="U189" s="7" t="n"/>
      <c r="V189" s="3" t="inlineStr">
        <is>
          <t>&lt;a href='http://alerjln1.alerj.rj.gov.br/scpro2327.nsf/18c1dd68f96be3e7832566ec0018d833/825b93a1105f9365032589dd00620a4c?OpenDocument'&gt; LINK&lt;/a&gt;</t>
        </is>
      </c>
      <c r="W189" s="3">
        <f>RIGHT(C189, 4)</f>
        <v/>
      </c>
      <c r="X189" s="3">
        <f>LEFT(C189, LEN(C189) - 5)</f>
        <v/>
      </c>
    </row>
    <row r="190" ht="90" customHeight="1" s="79">
      <c r="A190" s="2" t="inlineStr">
        <is>
          <t>Projeto Lei</t>
        </is>
      </c>
      <c r="B190" s="4">
        <f>RIGHT(C190,4)</f>
        <v/>
      </c>
      <c r="C190" s="2" t="inlineStr">
        <is>
          <t>1674/2023</t>
        </is>
      </c>
      <c r="D190" s="2" t="inlineStr">
        <is>
          <t>AUTORIZA O PODER EXECUTIVO A CONSIDERAR A CAPACITAÇÃO EM LÍNGUA BRASILEIRA DE SINAIS - LIBRAS - COMO CRITÉRIO DE DESEMPATE PARA CONCURSOS PÚBLICOS E PROCESSOS SELETIVOS SIMPLIFICADOS NO ÂMBITO DO ESTADO DO RIO DE JANEIRO</t>
        </is>
      </c>
      <c r="E190" s="2" t="inlineStr">
        <is>
          <t>ELIKA TAKIMOTO</t>
        </is>
      </c>
      <c r="F190" s="18" t="inlineStr">
        <is>
          <t>ZEIDAN</t>
        </is>
      </c>
      <c r="G190" s="10" t="inlineStr">
        <is>
          <t>FAVORÁVEL COM A EMENDA DA COMISSÃO DE CONSTITUIÇÃO E JUSTIÇA</t>
        </is>
      </c>
      <c r="H190" s="37" t="n"/>
      <c r="I190" s="14" t="inlineStr">
        <is>
          <t>N/A</t>
        </is>
      </c>
      <c r="J190" s="9" t="n">
        <v>45887</v>
      </c>
      <c r="K190" s="9" t="n">
        <v>45896</v>
      </c>
      <c r="L190" s="9" t="n">
        <v>45938</v>
      </c>
      <c r="M190" s="9" t="n">
        <v>45993</v>
      </c>
      <c r="N190" s="4" t="n"/>
      <c r="O190" s="4" t="n"/>
      <c r="P190" s="4" t="n"/>
      <c r="Q190" s="4" t="inlineStr">
        <is>
          <t>Não</t>
        </is>
      </c>
      <c r="R190" s="13" t="inlineStr">
        <is>
          <t>FOI A PLENÁRIO EM 03/12/2025</t>
        </is>
      </c>
      <c r="S190" s="4" t="n"/>
      <c r="T190" s="4" t="n"/>
      <c r="U190" s="7" t="n"/>
      <c r="V190" s="3" t="inlineStr">
        <is>
          <t>&lt;a href='http://alerjln1.alerj.rj.gov.br/scpro2327.nsf/18c1dd68f96be3e7832566ec0018d833/7e40a92a3a60148f03258a0100750d8b?OpenDocument'&gt; LINK&lt;/a&gt;</t>
        </is>
      </c>
      <c r="W190" s="3">
        <f>RIGHT(C190, 4)</f>
        <v/>
      </c>
      <c r="X190" s="3">
        <f>LEFT(C190, LEN(C190) - 5)</f>
        <v/>
      </c>
    </row>
    <row r="191" ht="75" customHeight="1" s="79">
      <c r="A191" s="2" t="inlineStr">
        <is>
          <t>Projeto Lei</t>
        </is>
      </c>
      <c r="B191" s="4">
        <f>RIGHT(C191,4)</f>
        <v/>
      </c>
      <c r="C191" s="2" t="inlineStr">
        <is>
          <t>380/2023</t>
        </is>
      </c>
      <c r="D191" s="2" t="inlineStr">
        <is>
          <t>FICA CRIADO O PROGRAMA DE EDUCAÇÃO E CAPACITAÇÃO PERMANENTE DOS SERVIDORES E DEMAIS PROFISSIONAIS DO SISTEMA ÚNICO DE SAÚDE (SUS) SOBRE A PRESCRIÇÃO E O USO MEDICINAL DA CANNABIS NO ESTADO DO RIO DE JANEIRO</t>
        </is>
      </c>
      <c r="E191" s="2" t="inlineStr">
        <is>
          <t>CARLOS MINC</t>
        </is>
      </c>
      <c r="F191" s="18" t="inlineStr">
        <is>
          <t>LUIZ PAULO</t>
        </is>
      </c>
      <c r="G191" s="10" t="inlineStr">
        <is>
          <t>FAVORÁVEL COM O SUBSTITUTIVO DA COMISSÃO DE CONSTITUIÇÃO E JUSTIÇA</t>
        </is>
      </c>
      <c r="H191" s="37" t="inlineStr">
        <is>
          <t>07/01/2026</t>
        </is>
      </c>
      <c r="I191" s="14" t="inlineStr">
        <is>
          <t>8ªRE 
16/12/2025</t>
        </is>
      </c>
      <c r="J191" s="9" t="n">
        <v>45894</v>
      </c>
      <c r="K191" s="9" t="n">
        <v>45896</v>
      </c>
      <c r="L191" s="9" t="n">
        <v>45988</v>
      </c>
      <c r="M191" s="4" t="n"/>
      <c r="N191" s="4" t="n"/>
      <c r="O191" s="4" t="n"/>
      <c r="P191" s="4" t="n"/>
      <c r="Q191" s="4" t="inlineStr">
        <is>
          <t>Sim</t>
        </is>
      </c>
      <c r="R191" s="13" t="n"/>
      <c r="S191" s="4" t="n"/>
      <c r="T191" s="4" t="n"/>
      <c r="U191" s="7" t="n"/>
      <c r="V191" s="3" t="inlineStr">
        <is>
          <t>&lt;a href='http://alerjln1.alerj.rj.gov.br/scpro2327.nsf/18c1dd68f96be3e7832566ec0018d833/7976bf29db3b1c2b0325896b006f4b6c?OpenDocument'&gt; LINK&lt;/a&gt;</t>
        </is>
      </c>
      <c r="W191" s="3">
        <f>RIGHT(C191, 4)</f>
        <v/>
      </c>
      <c r="X191" s="3">
        <f>LEFT(C191, LEN(C191) - 5)</f>
        <v/>
      </c>
    </row>
    <row r="192" ht="75" customHeight="1" s="79">
      <c r="A192" s="2" t="inlineStr">
        <is>
          <t>PL Apensado</t>
        </is>
      </c>
      <c r="B192" s="4">
        <f>RIGHT(C192,4)</f>
        <v/>
      </c>
      <c r="C192" s="2" t="inlineStr">
        <is>
          <t>6416/2022</t>
        </is>
      </c>
      <c r="D192" s="2" t="inlineStr">
        <is>
          <t>DISPÕE SOBRE A ISENÇÃO DO IMPOSTO SOBRE A PROPRIEDADE DE VEÍCULOS AUTOMOTORES TERRESTRES - IPVA PARA VEÍCULOS QUE ATUAM NO TRANSPORTE PRIVADO ATRAVÉS DE APLICATIVOS NO ÂMBITO DO ESTADO DO RIO DE JANEIRO.</t>
        </is>
      </c>
      <c r="E192" s="2" t="inlineStr">
        <is>
          <t>ROSENVERG REIS</t>
        </is>
      </c>
      <c r="F192" s="18" t="n"/>
      <c r="G192" s="10" t="n"/>
      <c r="H192" s="37" t="n"/>
      <c r="I192" s="14" t="n"/>
      <c r="J192" s="9" t="n">
        <v>45894</v>
      </c>
      <c r="K192" s="4" t="n"/>
      <c r="L192" s="9" t="n"/>
      <c r="M192" s="4" t="n"/>
      <c r="N192" s="4" t="n"/>
      <c r="O192" s="4" t="n"/>
      <c r="P192" s="4" t="n"/>
      <c r="Q192" s="4" t="inlineStr">
        <is>
          <t>Sim</t>
        </is>
      </c>
      <c r="R192" s="13" t="n"/>
      <c r="S192" s="4" t="inlineStr">
        <is>
          <t>4392/2021</t>
        </is>
      </c>
      <c r="T192" s="4" t="n"/>
      <c r="U192" s="7" t="n"/>
      <c r="V192" s="3" t="inlineStr">
        <is>
          <t>&lt;a href='http://alerjln1.alerj.rj.gov.br/scpro1923.nsf/18c1dd68f96be3e7832566ec0018d833/2f660f866712ffe0032588d10067ffa3?OpenDocument'&gt; LINK&lt;/a&gt;</t>
        </is>
      </c>
      <c r="W192" s="3">
        <f>RIGHT(C192, 4)</f>
        <v/>
      </c>
      <c r="X192" s="3">
        <f>LEFT(C192, LEN(C192) - 5)</f>
        <v/>
      </c>
    </row>
    <row r="193" ht="75" customHeight="1" s="79">
      <c r="A193" s="2" t="inlineStr">
        <is>
          <t>Projeto Lei</t>
        </is>
      </c>
      <c r="B193" s="4">
        <f>RIGHT(C193,4)</f>
        <v/>
      </c>
      <c r="C193" s="73" t="inlineStr">
        <is>
          <t>3226/2020</t>
        </is>
      </c>
      <c r="D193" s="2" t="inlineStr">
        <is>
          <t>INSTITUI O PROGRAMA DE PROTEÇÃO A AGENTE DE SEGURANÇA PÚBLICA GESTANTE, NO ÂMBITO DO ESTADO DO RIO DE JANEIRO.</t>
        </is>
      </c>
      <c r="E193" s="2" t="inlineStr">
        <is>
          <t>ROSENVERG REIS</t>
        </is>
      </c>
      <c r="F193" s="18" t="inlineStr">
        <is>
          <t>ANDERSON MORAES</t>
        </is>
      </c>
      <c r="G193" s="10" t="n"/>
      <c r="H193" s="37" t="n"/>
      <c r="I193" s="14" t="n"/>
      <c r="J193" s="9" t="n">
        <v>45895</v>
      </c>
      <c r="K193" s="9" t="n">
        <v>46168</v>
      </c>
      <c r="L193" s="9" t="n"/>
      <c r="M193" s="4" t="n"/>
      <c r="N193" s="4" t="n"/>
      <c r="O193" s="4" t="n"/>
      <c r="P193" s="4" t="n"/>
      <c r="Q193" s="4" t="inlineStr">
        <is>
          <t>Sim</t>
        </is>
      </c>
      <c r="R193" s="13" t="inlineStr">
        <is>
          <t>processos apensados: 1032/2023 e 3177/2024 e 860/2023
Retirei do gab. Do relator Vinícius Cozzolino, relatoria em 27/08/2025, pois mudou a composição da Com.</t>
        </is>
      </c>
      <c r="S193" s="4" t="n"/>
      <c r="T193" s="4" t="n"/>
      <c r="U193" s="7" t="n"/>
      <c r="V193" s="3" t="inlineStr">
        <is>
          <t>&lt;a href='http://alerjln1.alerj.rj.gov.br/scpro1923.nsf/18c1dd68f96be3e7832566ec0018d833/0cdfe7d82eff864e03258607005ebd55?OpenDocument'&gt; LINK&lt;/a&gt;</t>
        </is>
      </c>
      <c r="W193" s="3">
        <f>RIGHT(C193, 4)</f>
        <v/>
      </c>
      <c r="X193" s="3">
        <f>LEFT(C193, LEN(C193) - 5)</f>
        <v/>
      </c>
    </row>
    <row r="194" ht="75" customHeight="1" s="79">
      <c r="A194" s="2" t="inlineStr">
        <is>
          <t>Projeto Lei</t>
        </is>
      </c>
      <c r="B194" s="4">
        <f>RIGHT(C194,4)</f>
        <v/>
      </c>
      <c r="C194" s="2" t="inlineStr">
        <is>
          <t>5604/2022</t>
        </is>
      </c>
      <c r="D194" s="2" t="inlineStr">
        <is>
          <t>DISPÕE SOBRE O ATENDIMENTO OBRIGATÓRIO E INTEGRAL DE PESSOAS EM SITUAÇÃO DE VIOLÊNCIA SEXUAL E DÁ OUTRAS PROVIDÊNCIAS</t>
        </is>
      </c>
      <c r="E194" s="2" t="inlineStr">
        <is>
          <t>ZEIDAN</t>
        </is>
      </c>
      <c r="F194" s="18" t="inlineStr">
        <is>
          <t>ALEXANDRE KNOPLOCH</t>
        </is>
      </c>
      <c r="G194" s="10" t="inlineStr">
        <is>
          <t>FAVORÁVEL COM O SUBSTITUTIVO DA COMISSÃO DE CONSTITUIÇÃO E JUSTIÇA</t>
        </is>
      </c>
      <c r="H194" s="37" t="inlineStr">
        <is>
          <t>20/02/2026</t>
        </is>
      </c>
      <c r="I194" s="14" t="inlineStr">
        <is>
          <t>8ªRE 
16/12/2025</t>
        </is>
      </c>
      <c r="J194" s="9" t="n">
        <v>45895</v>
      </c>
      <c r="K194" s="9" t="n">
        <v>45896</v>
      </c>
      <c r="L194" s="9" t="n">
        <v>45979</v>
      </c>
      <c r="M194" s="9" t="n">
        <v>46076</v>
      </c>
      <c r="N194" s="4" t="n"/>
      <c r="O194" s="4" t="n"/>
      <c r="P194" s="4" t="n"/>
      <c r="Q194" s="4" t="inlineStr">
        <is>
          <t>Não</t>
        </is>
      </c>
      <c r="R194" s="13" t="n"/>
      <c r="S194" s="4" t="n"/>
      <c r="T194" s="4" t="n"/>
      <c r="U194" s="7" t="n"/>
      <c r="V194" s="3" t="inlineStr">
        <is>
          <t>&lt;a href='http://alerjln1.alerj.rj.gov.br/scpro1923.nsf/18c1dd68f96be3e7832566ec0018d833/9794f8169f2c7083032588070060027c?OpenDocument'&gt; LINK&lt;/a&gt;</t>
        </is>
      </c>
      <c r="W194" s="3">
        <f>RIGHT(C194, 4)</f>
        <v/>
      </c>
      <c r="X194" s="3">
        <f>LEFT(C194, LEN(C194) - 5)</f>
        <v/>
      </c>
    </row>
    <row r="195" ht="75" customHeight="1" s="79">
      <c r="A195" s="2" t="inlineStr">
        <is>
          <t>Projeto Lei</t>
        </is>
      </c>
      <c r="B195" s="4">
        <f>RIGHT(C195,4)</f>
        <v/>
      </c>
      <c r="C195" s="73" t="inlineStr">
        <is>
          <t>667/2023</t>
        </is>
      </c>
      <c r="D195" s="2" t="inlineStr">
        <is>
          <t>ALTERA A LEI ESTADUAL Nº 9658/2022 QUE INSTITUI A CAMPANHA DE CONSCIENTIZAÇÃO E COMBATE À VIOLÊNCIA PSICOLÓGICA PRATICADA CONTRA A MULHER PARA INSERIR O COMBATE AO CRIME DE (STALKING) PERSEGUIÇÃO À MULHER</t>
        </is>
      </c>
      <c r="E195" s="2" t="inlineStr">
        <is>
          <t>ELIKA TAKIMOTO, Dani Monteiro</t>
        </is>
      </c>
      <c r="F195" s="18" t="inlineStr">
        <is>
          <t>ZEIDAN</t>
        </is>
      </c>
      <c r="G195" s="10" t="inlineStr">
        <is>
          <t>FAVORÁVEL</t>
        </is>
      </c>
      <c r="H195" s="37" t="inlineStr">
        <is>
          <t>20/02/2026</t>
        </is>
      </c>
      <c r="I195" s="14" t="inlineStr">
        <is>
          <t>8ªRE 
16/12/2025</t>
        </is>
      </c>
      <c r="J195" s="9" t="n">
        <v>45895</v>
      </c>
      <c r="K195" s="9" t="n">
        <v>45896</v>
      </c>
      <c r="L195" s="9" t="n">
        <v>45946</v>
      </c>
      <c r="M195" s="9" t="n">
        <v>46076</v>
      </c>
      <c r="N195" s="4" t="n"/>
      <c r="O195" s="4" t="n"/>
      <c r="P195" s="4" t="n"/>
      <c r="Q195" s="4" t="inlineStr">
        <is>
          <t>Não</t>
        </is>
      </c>
      <c r="R195" s="13" t="n"/>
      <c r="S195" s="4" t="n"/>
      <c r="T195" s="4" t="n"/>
      <c r="U195" s="7" t="n"/>
      <c r="V195" s="3" t="inlineStr">
        <is>
          <t>&lt;a href='http://alerjln1.alerj.rj.gov.br/scpro2327.nsf/18c1dd68f96be3e7832566ec0018d833/b161d94f975fdb3a03258988005a05cd?OpenDocument'&gt; LINK&lt;/a&gt;</t>
        </is>
      </c>
      <c r="W195" s="3">
        <f>RIGHT(C195, 4)</f>
        <v/>
      </c>
      <c r="X195" s="3">
        <f>LEFT(C195, LEN(C195) - 5)</f>
        <v/>
      </c>
    </row>
    <row r="196" ht="60" customHeight="1" s="79">
      <c r="A196" s="2" t="inlineStr">
        <is>
          <t>Projeto Lei</t>
        </is>
      </c>
      <c r="B196" s="4">
        <f>RIGHT(C196,4)</f>
        <v/>
      </c>
      <c r="C196" s="2" t="inlineStr">
        <is>
          <t>709/2023</t>
        </is>
      </c>
      <c r="D196" s="2" t="inlineStr">
        <is>
          <t>OBRIGA O PODER EXECUTIVO À IMPLEMENTAÇÃO DE PORTARIA ESCOLAR EM TODAS AS UNIDADES ESCOLARES DA REDE ESTADUAL DE ENSINO DO ESTADO DO RIO DE JANEIRO.</t>
        </is>
      </c>
      <c r="E196" s="2" t="inlineStr">
        <is>
          <t>VINICIUS COZZOLINO</t>
        </is>
      </c>
      <c r="F196" s="18" t="inlineStr">
        <is>
          <t>RENATO MIRANDA</t>
        </is>
      </c>
      <c r="G196" s="10" t="inlineStr">
        <is>
          <t>FAVORÁVEL</t>
        </is>
      </c>
      <c r="H196" s="37" t="inlineStr">
        <is>
          <t>20/02/2026</t>
        </is>
      </c>
      <c r="I196" s="14" t="inlineStr">
        <is>
          <t>8ªRE 
16/12/2025</t>
        </is>
      </c>
      <c r="J196" s="9" t="n">
        <v>45895</v>
      </c>
      <c r="K196" s="9" t="n">
        <v>45896</v>
      </c>
      <c r="L196" s="9" t="n">
        <v>45898</v>
      </c>
      <c r="M196" s="9" t="n">
        <v>46076</v>
      </c>
      <c r="N196" s="4" t="n"/>
      <c r="O196" s="4" t="n"/>
      <c r="P196" s="4" t="n"/>
      <c r="Q196" s="4" t="inlineStr">
        <is>
          <t>Não</t>
        </is>
      </c>
      <c r="R196" s="13" t="n"/>
      <c r="S196" s="4" t="n"/>
      <c r="T196" s="4" t="n"/>
      <c r="U196" s="7" t="n"/>
      <c r="V196" s="3" t="inlineStr">
        <is>
          <t>&lt;a href='http://alerjln1.alerj.rj.gov.br/scpro2327.nsf/18c1dd68f96be3e7832566ec0018d833/38bbf1bc10d6a2120325898e0061a34e?OpenDocument'&gt; LINK&lt;/a&gt;</t>
        </is>
      </c>
      <c r="W196" s="3">
        <f>RIGHT(C196, 4)</f>
        <v/>
      </c>
      <c r="X196" s="3">
        <f>LEFT(C196, LEN(C196) - 5)</f>
        <v/>
      </c>
    </row>
    <row r="197" ht="105" customHeight="1" s="79">
      <c r="A197" s="2" t="inlineStr">
        <is>
          <t>Projeto Lei</t>
        </is>
      </c>
      <c r="B197" s="4">
        <f>RIGHT(C197,4)</f>
        <v/>
      </c>
      <c r="C197" s="2" t="inlineStr">
        <is>
          <t>981/2023</t>
        </is>
      </c>
      <c r="D197" s="2" t="inlineStr">
        <is>
          <t>OBRIGA AS UNIDADES BÁSICAS DE SAÚDE, OS POSTOS DE PRONTO ATENDIMENTO, AS UNIDADES PRÉ-HOSPITALARES, OS AMBULATÓRIOS, OS HOSPITAIS PÚBLICOS E CONVENIADOS DO SUS A REALIZAREM PESQUISA EM BANCOS DE DADOS DO GOVERNO NO MOMENTO DE REALIZAÇÃO DO CADASTRO DO PACIENTE.</t>
        </is>
      </c>
      <c r="E197" s="2" t="inlineStr">
        <is>
          <t>CARLINHOS BNH</t>
        </is>
      </c>
      <c r="F197" s="18" t="inlineStr">
        <is>
          <t>RENATO MIRANDA</t>
        </is>
      </c>
      <c r="G197" s="10" t="inlineStr">
        <is>
          <t>FAVORÁVEL</t>
        </is>
      </c>
      <c r="H197" s="37" t="inlineStr">
        <is>
          <t>20/02/2026</t>
        </is>
      </c>
      <c r="I197" s="14" t="inlineStr">
        <is>
          <t>8ªRE 
16/12/2025</t>
        </is>
      </c>
      <c r="J197" s="9" t="n">
        <v>45895</v>
      </c>
      <c r="K197" s="9" t="n">
        <v>45896</v>
      </c>
      <c r="L197" s="9" t="n">
        <v>45898</v>
      </c>
      <c r="M197" s="9" t="n">
        <v>46076</v>
      </c>
      <c r="N197" s="9" t="n"/>
      <c r="O197" s="9" t="n"/>
      <c r="P197" s="9" t="n"/>
      <c r="Q197" s="4" t="inlineStr">
        <is>
          <t>Não</t>
        </is>
      </c>
      <c r="R197" s="13" t="n"/>
      <c r="S197" s="4" t="n"/>
      <c r="T197" s="4" t="n"/>
      <c r="U197" s="7" t="n"/>
      <c r="V197" s="3" t="inlineStr">
        <is>
          <t>&lt;a href='http://alerjln1.alerj.rj.gov.br/scpro2327.nsf/18c1dd68f96be3e7832566ec0018d833/6e59849a734dbf0a032589ab005cf262?OpenDocument'&gt; LINK&lt;/a&gt;</t>
        </is>
      </c>
      <c r="W197" s="3">
        <f>RIGHT(C197, 4)</f>
        <v/>
      </c>
      <c r="X197" s="3">
        <f>LEFT(C197, LEN(C197) - 5)</f>
        <v/>
      </c>
    </row>
    <row r="198" ht="90" customHeight="1" s="79">
      <c r="A198" s="2" t="inlineStr">
        <is>
          <t>Projeto Lei</t>
        </is>
      </c>
      <c r="B198" s="4">
        <f>RIGHT(C198,4)</f>
        <v/>
      </c>
      <c r="C198" s="2" t="inlineStr">
        <is>
          <t>1093/2023</t>
        </is>
      </c>
      <c r="D198" s="2" t="inlineStr">
        <is>
          <t>ALTERA A LEI Nº 7538 DE 27 DE MARÇO DE 2017, QUE “DISPÕE SOBRE A APLICAÇÃO DE MEDIDA COERCITIVA ADMINISTRATIVA AO AGRESSOR PARA COIBIR E PREVENIR A VIOLÊNCIA DOMÉSTICA E FAMILIAR CONTRA A MULHER, NO ÂMBITO DO ESTADO DO RIO DE JANEIRO, NA FORMA QUE MENCIONA”.</t>
        </is>
      </c>
      <c r="E198" s="2" t="inlineStr">
        <is>
          <t>JULIO ROCHA</t>
        </is>
      </c>
      <c r="F198" s="18" t="inlineStr">
        <is>
          <t>VINICIUS COZZOLINO</t>
        </is>
      </c>
      <c r="G198" s="10" t="inlineStr">
        <is>
          <t>FAVORÁVEL COM AS EMENDAS DA COMISSÃO DE CONSTITUIÇÃO E JUSTIÇA</t>
        </is>
      </c>
      <c r="H198" s="37" t="inlineStr">
        <is>
          <t>FOI A PLENÁRIO</t>
        </is>
      </c>
      <c r="I198" s="14" t="inlineStr">
        <is>
          <t>8ªRE 
16/12/2025</t>
        </is>
      </c>
      <c r="J198" s="9" t="n">
        <v>45895</v>
      </c>
      <c r="K198" s="9" t="n">
        <v>45896</v>
      </c>
      <c r="L198" s="9" t="n">
        <v>45932</v>
      </c>
      <c r="M198" s="9" t="n"/>
      <c r="N198" s="9" t="n"/>
      <c r="O198" s="9" t="n"/>
      <c r="P198" s="9" t="n"/>
      <c r="Q198" s="4" t="inlineStr">
        <is>
          <t>Não</t>
        </is>
      </c>
      <c r="R198" s="2" t="inlineStr">
        <is>
          <t>FOI A PLENÁRIO - RETIRADO EM 02/FEV/2026</t>
        </is>
      </c>
      <c r="S198" s="4" t="n"/>
      <c r="T198" s="4" t="n"/>
      <c r="U198" s="7" t="n"/>
      <c r="V198" s="3" t="inlineStr">
        <is>
          <t>&lt;a href='http://alerjln1.alerj.rj.gov.br/scpro2327.nsf/18c1dd68f96be3e7832566ec0018d833/07b141626e2e0f2c032589b3004f194e?OpenDocument'&gt; LINK&lt;/a&gt;</t>
        </is>
      </c>
      <c r="W198" s="3">
        <f>RIGHT(C198, 4)</f>
        <v/>
      </c>
      <c r="X198" s="3">
        <f>LEFT(C198, LEN(C198) - 5)</f>
        <v/>
      </c>
    </row>
    <row r="199" ht="75" customHeight="1" s="79">
      <c r="A199" s="2" t="inlineStr">
        <is>
          <t>Projeto Lei</t>
        </is>
      </c>
      <c r="B199" s="4">
        <f>RIGHT(C199,4)</f>
        <v/>
      </c>
      <c r="C199" s="2" t="inlineStr">
        <is>
          <t>1414/2023</t>
        </is>
      </c>
      <c r="D199" s="2" t="inlineStr">
        <is>
          <t>AUTORIZA A CRIAÇÃO DE MECANISMOS PARA COIBIR A VIOLÊNCIA DOMÉSTICA E FAMILIAR CONTRA A MULHER, ESTABELECENDO A POSSIBILIDADE DE MONITORAMENTO ELETRÔNICO E DA OUTRAS PROVIDÊNCIAS.</t>
        </is>
      </c>
      <c r="E199" s="2" t="inlineStr">
        <is>
          <t>ZEIDAN</t>
        </is>
      </c>
      <c r="F199" s="18" t="inlineStr">
        <is>
          <t>ALEXANDRE KNOPLOCH</t>
        </is>
      </c>
      <c r="G199" s="10" t="n"/>
      <c r="H199" s="37" t="n"/>
      <c r="I199" s="14" t="n"/>
      <c r="J199" s="9" t="n">
        <v>45895</v>
      </c>
      <c r="K199" s="9" t="n">
        <v>45896</v>
      </c>
      <c r="L199" s="9" t="n"/>
      <c r="M199" s="4" t="n"/>
      <c r="N199" s="4" t="n"/>
      <c r="O199" s="4" t="n"/>
      <c r="P199" s="4" t="n"/>
      <c r="Q199" s="4" t="inlineStr">
        <is>
          <t>Com Relator</t>
        </is>
      </c>
      <c r="R199" s="13" t="n"/>
      <c r="S199" s="4" t="n"/>
      <c r="T199" s="4" t="n"/>
      <c r="U199" s="7" t="n"/>
      <c r="V199" s="3" t="inlineStr">
        <is>
          <t>&lt;a href='http://alerjln1.alerj.rj.gov.br/scpro2327.nsf/18c1dd68f96be3e7832566ec0018d833/5400dbe7d47c0a4a032589d6006c5f9f?OpenDocument'&gt; LINK&lt;/a&gt;</t>
        </is>
      </c>
      <c r="W199" s="3">
        <f>RIGHT(C199, 4)</f>
        <v/>
      </c>
      <c r="X199" s="3">
        <f>LEFT(C199, LEN(C199) - 5)</f>
        <v/>
      </c>
    </row>
    <row r="200" ht="75" customHeight="1" s="79">
      <c r="A200" s="2" t="inlineStr">
        <is>
          <t>Projeto Lei</t>
        </is>
      </c>
      <c r="B200" s="4" t="n">
        <v>36</v>
      </c>
      <c r="C200" s="73" t="inlineStr">
        <is>
          <t>2734/2023</t>
        </is>
      </c>
      <c r="D200" s="2" t="inlineStr">
        <is>
          <t>INSTITUI O PROGRAMA DE CURSOS PROFISSIONALIZANTES DA CULTURA HIP HOP NAS UNIDADES DO DEPARTAMENTO GERAL DE AÇÕES SOCIOEDUCATIVAS - DEGASE.</t>
        </is>
      </c>
      <c r="E200" s="2" t="inlineStr">
        <is>
          <t>DANI MONTEIRO</t>
        </is>
      </c>
      <c r="F200" s="18" t="inlineStr">
        <is>
          <t>ZEIDAN</t>
        </is>
      </c>
      <c r="G200" s="10" t="inlineStr">
        <is>
          <t>FAVORÁVEL COM AS EMENDAS DA COMISSÃO DE CONSTITUIÇÃO E JUSTIÇA</t>
        </is>
      </c>
      <c r="H200" s="37" t="n"/>
      <c r="I200" s="14" t="inlineStr">
        <is>
          <t>PRÓXIMA</t>
        </is>
      </c>
      <c r="J200" s="9" t="n">
        <v>45895</v>
      </c>
      <c r="K200" s="9" t="n">
        <v>45896</v>
      </c>
      <c r="L200" s="9" t="n">
        <v>46111</v>
      </c>
      <c r="M200" s="4" t="n"/>
      <c r="N200" s="4" t="n"/>
      <c r="O200" s="4" t="n"/>
      <c r="P200" s="4" t="n"/>
      <c r="Q200" s="4" t="inlineStr">
        <is>
          <t>Sim</t>
        </is>
      </c>
      <c r="R200" s="13" t="n"/>
      <c r="S200" s="4" t="n"/>
      <c r="T200" s="4" t="n"/>
      <c r="U200" s="7" t="n"/>
      <c r="V200" s="3" t="inlineStr">
        <is>
          <t>&lt;a href='http://alerjln1.alerj.rj.gov.br/scpro2327.nsf/18c1dd68f96be3e7832566ec0018d833/7ea2a4b27b97276603258a7d005805d2?OpenDocument'&gt; LINK&lt;/a&gt;</t>
        </is>
      </c>
      <c r="W200" s="3">
        <f>RIGHT(C200, 4)</f>
        <v/>
      </c>
      <c r="X200" s="3">
        <f>LEFT(C200, LEN(C200) - 5)</f>
        <v/>
      </c>
    </row>
    <row r="201" ht="30" customHeight="1" s="79">
      <c r="A201" s="2" t="inlineStr">
        <is>
          <t>Projeto Lei</t>
        </is>
      </c>
      <c r="B201" s="4" t="n">
        <v>38</v>
      </c>
      <c r="C201" s="73" t="inlineStr">
        <is>
          <t>3394/2024</t>
        </is>
      </c>
      <c r="D201" s="2" t="inlineStr">
        <is>
          <t>DISPÕE SOBRE O RECAMBIAMENTO DE CRIANÇAS E ADOLESCENTES, NA FORMA QUE MENCIONA.</t>
        </is>
      </c>
      <c r="E201" s="2" t="inlineStr">
        <is>
          <t>MUNIR NETO</t>
        </is>
      </c>
      <c r="F201" s="18" t="inlineStr">
        <is>
          <t>ZEIDAN</t>
        </is>
      </c>
      <c r="G201" s="10" t="inlineStr">
        <is>
          <t>FAVORÁVEL</t>
        </is>
      </c>
      <c r="H201" s="37" t="n"/>
      <c r="I201" s="14" t="inlineStr">
        <is>
          <t>PRÓXIMA</t>
        </is>
      </c>
      <c r="J201" s="9" t="n">
        <v>45895</v>
      </c>
      <c r="K201" s="9" t="n">
        <v>45896</v>
      </c>
      <c r="L201" s="9" t="n">
        <v>46111</v>
      </c>
      <c r="M201" s="4" t="n"/>
      <c r="N201" s="4" t="n"/>
      <c r="O201" s="4" t="n"/>
      <c r="P201" s="4" t="n"/>
      <c r="Q201" s="4" t="inlineStr">
        <is>
          <t>Sim</t>
        </is>
      </c>
      <c r="R201" s="13" t="n"/>
      <c r="S201" s="4" t="n"/>
      <c r="T201" s="4" t="n"/>
      <c r="U201" s="7" t="n"/>
      <c r="V201" s="3" t="inlineStr">
        <is>
          <t>&lt;a href='http://alerjln1.alerj.rj.gov.br/scpro2327.nsf/18c1dd68f96be3e7832566ec0018d833/9df6d62d53aa1ecf03258b00005778d6?OpenDocument'&gt; LINK&lt;/a&gt;</t>
        </is>
      </c>
      <c r="W201" s="3">
        <f>RIGHT(C201, 4)</f>
        <v/>
      </c>
      <c r="X201" s="3">
        <f>LEFT(C201, LEN(C201) - 5)</f>
        <v/>
      </c>
    </row>
    <row r="202" ht="150" customHeight="1" s="79">
      <c r="A202" s="2" t="inlineStr">
        <is>
          <t>Projeto Lei</t>
        </is>
      </c>
      <c r="B202" s="4">
        <f>RIGHT(C202,4)</f>
        <v/>
      </c>
      <c r="C202" s="2" t="inlineStr">
        <is>
          <t>4048/2024</t>
        </is>
      </c>
      <c r="D202" s="2" t="inlineStr">
        <is>
          <t>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t>
        </is>
      </c>
      <c r="E202" s="2" t="inlineStr">
        <is>
          <t>MARTHA ROCHA</t>
        </is>
      </c>
      <c r="F202" s="18" t="inlineStr">
        <is>
          <t>VINICIUS COZZOLINO</t>
        </is>
      </c>
      <c r="G202" s="10" t="inlineStr">
        <is>
          <t>FAVORÁVEL</t>
        </is>
      </c>
      <c r="H202" s="37" t="inlineStr">
        <is>
          <t>20/02/2026</t>
        </is>
      </c>
      <c r="I202" s="14" t="inlineStr">
        <is>
          <t>8ªRE 
16/12/2025</t>
        </is>
      </c>
      <c r="J202" s="9" t="n">
        <v>45895</v>
      </c>
      <c r="K202" s="9" t="n">
        <v>45896</v>
      </c>
      <c r="L202" s="9" t="n">
        <v>45932</v>
      </c>
      <c r="M202" s="9" t="n">
        <v>46076</v>
      </c>
      <c r="N202" s="4" t="n"/>
      <c r="O202" s="4" t="n"/>
      <c r="P202" s="4" t="n"/>
      <c r="Q202" s="4" t="inlineStr">
        <is>
          <t>Não</t>
        </is>
      </c>
      <c r="R202" s="13" t="n"/>
      <c r="S202" s="4" t="n"/>
      <c r="T202" s="4" t="n"/>
      <c r="U202" s="7" t="n"/>
      <c r="V202" s="3" t="inlineStr">
        <is>
          <t>&lt;a href='http://alerjln1.alerj.rj.gov.br/scpro2327.nsf/18c1dd68f96be3e7832566ec0018d833/52e3c5bbd8f485a803258b800065d2af?OpenDocument'&gt; LINK&lt;/a&gt;</t>
        </is>
      </c>
      <c r="W202" s="3">
        <f>RIGHT(C202, 4)</f>
        <v/>
      </c>
      <c r="X202" s="3">
        <f>LEFT(C202, LEN(C202) - 5)</f>
        <v/>
      </c>
    </row>
    <row r="203">
      <c r="A203" s="2" t="inlineStr">
        <is>
          <t>PL Apensado</t>
        </is>
      </c>
      <c r="B203" s="4">
        <f>RIGHT(C203,4)</f>
        <v/>
      </c>
      <c r="C203" s="2" t="inlineStr">
        <is>
          <t>6416/2022</t>
        </is>
      </c>
      <c r="D203" s="2" t="n"/>
      <c r="E203" s="2" t="inlineStr">
        <is>
          <t>ROSENVERG REIS</t>
        </is>
      </c>
      <c r="F203" s="18" t="n"/>
      <c r="G203" s="10" t="n"/>
      <c r="H203" s="37" t="n"/>
      <c r="I203" s="14" t="n"/>
      <c r="J203" s="9" t="n"/>
      <c r="K203" s="4" t="n"/>
      <c r="L203" s="9" t="n"/>
      <c r="M203" s="4" t="n"/>
      <c r="N203" s="4" t="n"/>
      <c r="O203" s="4" t="n"/>
      <c r="P203" s="4" t="n"/>
      <c r="Q203" s="4" t="inlineStr">
        <is>
          <t>Sim</t>
        </is>
      </c>
      <c r="R203" s="13" t="n"/>
      <c r="S203" s="4" t="inlineStr">
        <is>
          <t>4392/2021</t>
        </is>
      </c>
      <c r="T203" s="4" t="n"/>
      <c r="U203" s="7" t="n"/>
      <c r="V203" s="3" t="n"/>
      <c r="W203" s="3">
        <f>RIGHT(C203, 4)</f>
        <v/>
      </c>
      <c r="X203" s="3">
        <f>LEFT(C203, LEN(C203) - 5)</f>
        <v/>
      </c>
    </row>
    <row r="204" ht="75" customHeight="1" s="79">
      <c r="A204" s="2" t="inlineStr">
        <is>
          <t>Projeto Lei</t>
        </is>
      </c>
      <c r="B204" s="4">
        <f>RIGHT(C204,4)</f>
        <v/>
      </c>
      <c r="C204" s="2" t="inlineStr">
        <is>
          <t>1538/2023</t>
        </is>
      </c>
      <c r="D204" s="2" t="inlineStr">
        <is>
          <t>ESTABELECE AS DIRETRIZES PARA A IMPLANTAÇÃO DO PROGRAMA DE INTERVENÇÕES ASSISTIDAS POR ANIMAIS
- IAA, NO ESTADO DO RIO DE JANEIRO E DÁ OUTRAS PROVIDÊNCIAS</t>
        </is>
      </c>
      <c r="E204" s="2" t="inlineStr">
        <is>
          <t>ELIKA TAKIMOTO</t>
        </is>
      </c>
      <c r="F204" s="18" t="inlineStr">
        <is>
          <t>VINICIUS COZZOLINO</t>
        </is>
      </c>
      <c r="G204" s="10" t="inlineStr">
        <is>
          <t>FAVORÁVEL</t>
        </is>
      </c>
      <c r="H204" s="37" t="inlineStr">
        <is>
          <t>20/02/2026</t>
        </is>
      </c>
      <c r="I204" s="14" t="inlineStr">
        <is>
          <t>8ªRE 
16/12/2025</t>
        </is>
      </c>
      <c r="J204" s="9" t="n">
        <v>45896</v>
      </c>
      <c r="K204" s="9" t="n">
        <v>45909</v>
      </c>
      <c r="L204" s="9" t="n">
        <v>45932</v>
      </c>
      <c r="M204" s="9" t="n">
        <v>46076</v>
      </c>
      <c r="N204" s="4" t="n"/>
      <c r="O204" s="4" t="n"/>
      <c r="P204" s="4" t="n"/>
      <c r="Q204" s="4" t="inlineStr">
        <is>
          <t>Não</t>
        </is>
      </c>
      <c r="R204" s="13" t="n"/>
      <c r="S204" s="4" t="n"/>
      <c r="T204" s="4" t="n"/>
      <c r="U204" s="7" t="n"/>
      <c r="V204" s="3" t="inlineStr">
        <is>
          <t>&lt;a href='http://alerjln1.alerj.rj.gov.br/scpro2327.nsf/18c1dd68f96be3e7832566ec0018d833/569229936da0f29f032589dd006b8f02?OpenDocument'&gt; LINK&lt;/a&gt;</t>
        </is>
      </c>
      <c r="W204" s="3">
        <f>RIGHT(C204, 4)</f>
        <v/>
      </c>
      <c r="X204" s="3">
        <f>LEFT(C204, LEN(C204) - 5)</f>
        <v/>
      </c>
    </row>
    <row r="205" ht="45" customHeight="1" s="79">
      <c r="A205" s="2" t="inlineStr">
        <is>
          <t>Projeto Lei</t>
        </is>
      </c>
      <c r="B205" s="4">
        <f>RIGHT(C205,4)</f>
        <v/>
      </c>
      <c r="C205" s="2" t="inlineStr">
        <is>
          <t>3898/2024</t>
        </is>
      </c>
      <c r="D205" s="2" t="inlineStr">
        <is>
          <t>DISPÕE SOBRE A CRIAÇÃO DO FUNDO DE PROTEÇÃO ANIMAL NO ESTADO DO RIO DE JANEIRO E DÁ OUTRAS PROVIDÊNCIAS.</t>
        </is>
      </c>
      <c r="E205" s="2" t="inlineStr">
        <is>
          <t>ANDREZINHO CECILIANO</t>
        </is>
      </c>
      <c r="F205" s="18" t="inlineStr">
        <is>
          <t>VINICIUS COZZOLINO</t>
        </is>
      </c>
      <c r="G205" s="10" t="inlineStr">
        <is>
          <t>TIL</t>
        </is>
      </c>
      <c r="H205" s="37" t="n"/>
      <c r="I205" s="14" t="n"/>
      <c r="J205" s="9" t="n">
        <v>45896</v>
      </c>
      <c r="K205" s="9" t="n">
        <v>45909</v>
      </c>
      <c r="L205" s="9" t="n">
        <v>45930</v>
      </c>
      <c r="M205" s="9" t="n"/>
      <c r="N205" s="9" t="n"/>
      <c r="O205" s="9" t="n"/>
      <c r="P205" s="9" t="n"/>
      <c r="Q205" s="4" t="inlineStr">
        <is>
          <t>Não</t>
        </is>
      </c>
      <c r="R205" s="13" t="inlineStr">
        <is>
          <t>Encaminhado a SGMD por ser TIL</t>
        </is>
      </c>
      <c r="S205" s="4" t="n"/>
      <c r="T205" s="4" t="n"/>
      <c r="U205" s="7" t="n"/>
      <c r="V205" s="3" t="inlineStr">
        <is>
          <t>&lt;a href='http://alerjln1.alerj.rj.gov.br/scpro2327.nsf/18c1dd68f96be3e7832566ec0018d833/6a07962f5e3b31d703258b69005d71cf?OpenDocument'&gt; LINK&lt;/a&gt;</t>
        </is>
      </c>
      <c r="W205" s="3">
        <f>RIGHT(C205, 4)</f>
        <v/>
      </c>
      <c r="X205" s="3">
        <f>LEFT(C205, LEN(C205) - 5)</f>
        <v/>
      </c>
    </row>
    <row r="206" ht="75" customHeight="1" s="79">
      <c r="A206" s="2" t="inlineStr">
        <is>
          <t>Projeto Lei</t>
        </is>
      </c>
      <c r="B206" s="4">
        <f>RIGHT(C206,4)</f>
        <v/>
      </c>
      <c r="C206" s="2" t="inlineStr">
        <is>
          <t>2882/2017</t>
        </is>
      </c>
      <c r="D206" s="2" t="inlineStr">
        <is>
          <t>INSERE A POLÍTICA DE ADOÇÃO NO PLANEJAMENTO FAMILIAR.</t>
        </is>
      </c>
      <c r="E206" s="2" t="inlineStr">
        <is>
          <t>FLÁVIO SERAFINI</t>
        </is>
      </c>
      <c r="F206" s="18" t="inlineStr">
        <is>
          <t>VINICIUS COZZOLINO</t>
        </is>
      </c>
      <c r="G206" s="10" t="inlineStr">
        <is>
          <t>FAVORÁVEL COM AS EMENDAS DA COMISSÃO DE CONSTITUIÇÃO E JUSTIÇA</t>
        </is>
      </c>
      <c r="H206" s="37" t="inlineStr">
        <is>
          <t>20/02/2026</t>
        </is>
      </c>
      <c r="I206" s="14" t="inlineStr">
        <is>
          <t>8ªRE 
16/12/2025</t>
        </is>
      </c>
      <c r="J206" s="9" t="n">
        <v>45898</v>
      </c>
      <c r="K206" s="9" t="n">
        <v>45909</v>
      </c>
      <c r="L206" s="9" t="n">
        <v>45930</v>
      </c>
      <c r="M206" s="9" t="n">
        <v>46076</v>
      </c>
      <c r="N206" s="9" t="n"/>
      <c r="O206" s="9" t="n"/>
      <c r="P206" s="9" t="n"/>
      <c r="Q206" s="4" t="inlineStr">
        <is>
          <t>Não</t>
        </is>
      </c>
      <c r="R206" s="2" t="n"/>
      <c r="S206" s="4" t="n"/>
      <c r="T206" s="4" t="n"/>
      <c r="U206" s="7" t="n"/>
      <c r="V206" s="3" t="inlineStr">
        <is>
          <t>&lt;a href='http://alerjln1.alerj.rj.gov.br/scpro1519.nsf/18c1dd68f96be3e7832566ec0018d833/bdfdcd712208f6988325812b0063e87e?OpenDocument'&gt; LINK&lt;/a&gt;</t>
        </is>
      </c>
      <c r="W206" s="3">
        <f>RIGHT(C206, 4)</f>
        <v/>
      </c>
      <c r="X206" s="3">
        <f>LEFT(C206, LEN(C206) - 5)</f>
        <v/>
      </c>
    </row>
    <row r="207" ht="75" customHeight="1" s="79">
      <c r="A207" s="2" t="inlineStr">
        <is>
          <t>Projeto Lei</t>
        </is>
      </c>
      <c r="B207" s="4">
        <f>RIGHT(C207,4)</f>
        <v/>
      </c>
      <c r="C207" s="2" t="inlineStr">
        <is>
          <t>892/2023</t>
        </is>
      </c>
      <c r="D207" s="2" t="inlineStr">
        <is>
          <t>INSTITUI CAMPANHA DE PREVENÇÃO E CONSCIENTIZAÇÃO SOBRE O USO DE CIGARROS ELETRÔNICOS POR CRIANÇAS E ADOLESCENTES NO ESTADO DO RIO DE JANEIRO.</t>
        </is>
      </c>
      <c r="E207" s="2" t="inlineStr">
        <is>
          <t>DANNIEL LIBRELON</t>
        </is>
      </c>
      <c r="F207" s="18" t="inlineStr">
        <is>
          <t>LUIZ PAULO</t>
        </is>
      </c>
      <c r="G207" s="10" t="inlineStr">
        <is>
          <t>FAVORÁVEL COM AS EMENDAS DA COMISSÃO DE CONSTITUIÇÃO E JUSTIÇA</t>
        </is>
      </c>
      <c r="H207" s="37" t="inlineStr">
        <is>
          <t>20/02/2026</t>
        </is>
      </c>
      <c r="I207" s="14" t="inlineStr">
        <is>
          <t>8ªRE 
16/12/2025</t>
        </is>
      </c>
      <c r="J207" s="9" t="n">
        <v>45898</v>
      </c>
      <c r="K207" s="9" t="n">
        <v>45909</v>
      </c>
      <c r="L207" s="9" t="n">
        <v>45988</v>
      </c>
      <c r="M207" s="9" t="n">
        <v>46076</v>
      </c>
      <c r="N207" s="4" t="n"/>
      <c r="O207" s="4" t="n"/>
      <c r="P207" s="4" t="n"/>
      <c r="Q207" s="4" t="inlineStr">
        <is>
          <t>Não</t>
        </is>
      </c>
      <c r="R207" s="13" t="n"/>
      <c r="S207" s="4" t="n"/>
      <c r="T207" s="4" t="n"/>
      <c r="U207" s="7" t="n"/>
      <c r="V207" s="3" t="inlineStr">
        <is>
          <t>&lt;a href='http://alerjln1.alerj.rj.gov.br/scpro2327.nsf/18c1dd68f96be3e7832566ec0018d833/dab888efece568c1032589a30056e1d1?OpenDocument'&gt; LINK&lt;/a&gt;</t>
        </is>
      </c>
      <c r="W207" s="3">
        <f>RIGHT(C207, 4)</f>
        <v/>
      </c>
      <c r="X207" s="3">
        <f>LEFT(C207, LEN(C207) - 5)</f>
        <v/>
      </c>
    </row>
    <row r="208" ht="75" customHeight="1" s="79">
      <c r="A208" s="2" t="inlineStr">
        <is>
          <t>Projeto Lei</t>
        </is>
      </c>
      <c r="B208" s="4">
        <f>RIGHT(C208,4)</f>
        <v/>
      </c>
      <c r="C208" s="2" t="inlineStr">
        <is>
          <t>899/2023</t>
        </is>
      </c>
      <c r="D208" s="2" t="inlineStr">
        <is>
          <t>CRIA O PROGRAMA DE DISTRIBUIÇÃO DE ÓRTESES, PRÓTESES ORTOPÉDICAS E APARELHOS LOCOMOTORES PARA ATENDIMENTO ÀS PESSOAS COM DEFICIÊNCIAS, NO ÂMBITO DO ESTADO DO RIO DE JANEIRO.</t>
        </is>
      </c>
      <c r="E208" s="2" t="inlineStr">
        <is>
          <t>VINICIUS COZZOLINO, Fred Pacheco</t>
        </is>
      </c>
      <c r="F208" s="18" t="inlineStr">
        <is>
          <t>LUIZ PAULO</t>
        </is>
      </c>
      <c r="G208" s="10" t="inlineStr">
        <is>
          <t>FAVORÁVEL COM AS EMENDAS DA COMISSÃO DE CONSTITUIÇÃO E JUSTIÇA</t>
        </is>
      </c>
      <c r="H208" s="37" t="inlineStr">
        <is>
          <t>27/02/2026</t>
        </is>
      </c>
      <c r="I208" s="14" t="inlineStr">
        <is>
          <t>1ªRE 
24/02/2026</t>
        </is>
      </c>
      <c r="J208" s="9" t="n">
        <v>45898</v>
      </c>
      <c r="K208" s="9" t="n">
        <v>45909</v>
      </c>
      <c r="L208" s="9" t="n">
        <v>46065</v>
      </c>
      <c r="M208" s="37" t="inlineStr">
        <is>
          <t>27/02/2026</t>
        </is>
      </c>
      <c r="N208" s="4" t="n"/>
      <c r="O208" s="4" t="n"/>
      <c r="P208" s="4" t="n"/>
      <c r="Q208" s="4" t="inlineStr">
        <is>
          <t>Não</t>
        </is>
      </c>
      <c r="R208" s="13" t="n"/>
      <c r="S208" s="4" t="n"/>
      <c r="T208" s="4" t="n"/>
      <c r="U208" s="7" t="n"/>
      <c r="V208" s="3" t="inlineStr">
        <is>
          <t>&lt;a href='http://alerjln1.alerj.rj.gov.br/scpro2327.nsf/18c1dd68f96be3e7832566ec0018d833/d3fd53701ab4d6c70325899f00620a35?OpenDocument'&gt; LINK&lt;/a&gt;</t>
        </is>
      </c>
      <c r="W208" s="3">
        <f>RIGHT(C208, 4)</f>
        <v/>
      </c>
      <c r="X208" s="3">
        <f>LEFT(C208, LEN(C208) - 5)</f>
        <v/>
      </c>
    </row>
    <row r="209" ht="75" customHeight="1" s="79">
      <c r="A209" s="2" t="inlineStr">
        <is>
          <t>Projeto Lei</t>
        </is>
      </c>
      <c r="B209" s="4">
        <f>RIGHT(C209,4)</f>
        <v/>
      </c>
      <c r="C209" s="2" t="inlineStr">
        <is>
          <t>3519/2024</t>
        </is>
      </c>
      <c r="D209" s="2" t="inlineStr">
        <is>
          <t>DISPÕE SOBRE A PRIORIDADE NO AGENDAMENTO DE CONSULTA PREVENTIVA DE OFTALMOLOGIA PARA CRIANÇAS E ADOLESCENTE EM SERVIÇO DE ACOLHIMENTO, INSTITUCIONAL OU FAMILIAR, NA REDE PUBLICA DE ATENDIMENTO DE SAÚDE</t>
        </is>
      </c>
      <c r="E209" s="2" t="inlineStr">
        <is>
          <t>MUNIR NETO</t>
        </is>
      </c>
      <c r="F209" s="18" t="inlineStr">
        <is>
          <t>LUIZ PAULO</t>
        </is>
      </c>
      <c r="G209" s="10" t="inlineStr">
        <is>
          <t>FAVORÁVEL COM AS EMENDAS DA COMISSÃO DE CONSTITUIÇÃO E JUSTIÇA</t>
        </is>
      </c>
      <c r="H209" s="37" t="inlineStr">
        <is>
          <t>27/02/2026</t>
        </is>
      </c>
      <c r="I209" s="14" t="inlineStr">
        <is>
          <t>1ªRE 
24/02/2026</t>
        </is>
      </c>
      <c r="J209" s="9" t="n">
        <v>45898</v>
      </c>
      <c r="K209" s="9" t="n">
        <v>45909</v>
      </c>
      <c r="L209" s="9" t="n">
        <v>46065</v>
      </c>
      <c r="M209" s="37" t="inlineStr">
        <is>
          <t>27/02/2026</t>
        </is>
      </c>
      <c r="N209" s="4" t="n"/>
      <c r="O209" s="4" t="n"/>
      <c r="P209" s="4" t="n"/>
      <c r="Q209" s="4" t="inlineStr">
        <is>
          <t>Não</t>
        </is>
      </c>
      <c r="R209" s="13" t="n"/>
      <c r="S209" s="4" t="n"/>
      <c r="T209" s="4" t="n"/>
      <c r="U209" s="7" t="n"/>
      <c r="V209" s="3" t="inlineStr">
        <is>
          <t>&lt;a href='http://alerjln1.alerj.rj.gov.br/scpro2327.nsf/18c1dd68f96be3e7832566ec0018d833/b5d372601b5de81903258b150055bfea?OpenDocument'&gt; LINK&lt;/a&gt;</t>
        </is>
      </c>
      <c r="W209" s="3">
        <f>RIGHT(C209, 4)</f>
        <v/>
      </c>
      <c r="X209" s="3">
        <f>LEFT(C209, LEN(C209) - 5)</f>
        <v/>
      </c>
    </row>
    <row r="210" ht="90" customHeight="1" s="79">
      <c r="A210" s="2" t="inlineStr">
        <is>
          <t>Projeto Lei</t>
        </is>
      </c>
      <c r="B210" s="4">
        <f>RIGHT(C210,4)</f>
        <v/>
      </c>
      <c r="C210" s="73" t="inlineStr">
        <is>
          <t>EP 322/2023</t>
        </is>
      </c>
      <c r="D210" s="2" t="inlineStr">
        <is>
          <t>AUTORIZA O PODER EXECUTIVO A FORNECER ADESIVOS PARA CARROS COM A IDENTIFICAÇÃO DA PESSOA COM TRANSTORNO DO ESPECTRO AUTISTA-TEA, BEM COMO PROMOVER CAMPANHAS DE CONSCIENTIZAÇÃO NO TRÂNSITO,NO ÂMBITO DO ESTADO DO RIO DE JANEIRO.</t>
        </is>
      </c>
      <c r="E210" s="2" t="inlineStr">
        <is>
          <t>FRED PACHECO</t>
        </is>
      </c>
      <c r="F210" s="18" t="inlineStr">
        <is>
          <t>RENATO MIRANDA</t>
        </is>
      </c>
      <c r="G210" s="10" t="inlineStr">
        <is>
          <t>FAVORÁVEL</t>
        </is>
      </c>
      <c r="H210" s="37" t="inlineStr">
        <is>
          <t>23/12/2025</t>
        </is>
      </c>
      <c r="I210" s="14" t="inlineStr">
        <is>
          <t>8ªRE 
16/12/2025</t>
        </is>
      </c>
      <c r="J210" s="9" t="n">
        <v>45902</v>
      </c>
      <c r="K210" s="9" t="n">
        <v>45909</v>
      </c>
      <c r="L210" s="9" t="n">
        <v>45898</v>
      </c>
      <c r="M210" s="4" t="n"/>
      <c r="N210" s="4" t="n"/>
      <c r="O210" s="4" t="n"/>
      <c r="P210" s="4" t="n"/>
      <c r="Q210" s="4" t="inlineStr">
        <is>
          <t>Não</t>
        </is>
      </c>
      <c r="R210" s="13" t="n"/>
      <c r="S210" s="4" t="n"/>
      <c r="T210" s="4" t="n"/>
      <c r="U210" s="7" t="n"/>
      <c r="V210" s="3" t="inlineStr">
        <is>
          <t>http://alerjln1.alerj.rj.gov.br/scpro2327.nsf/18c1dd68f96be3e7832566ec0018d833/378d480e08ac38f903258966004cc5ea?OpenDocument</t>
        </is>
      </c>
      <c r="W210" s="3">
        <f>RIGHT(C210, 4)</f>
        <v/>
      </c>
      <c r="X210" s="3">
        <f>LEFT(C210, LEN(C210) - 5)</f>
        <v/>
      </c>
    </row>
    <row r="211" ht="75" customHeight="1" s="79">
      <c r="A211" s="2" t="inlineStr">
        <is>
          <t>Projeto Lei</t>
        </is>
      </c>
      <c r="B211" s="4">
        <f>RIGHT(C211,4)</f>
        <v/>
      </c>
      <c r="C211" s="73" t="inlineStr">
        <is>
          <t>3084/2024</t>
        </is>
      </c>
      <c r="D211" s="2" t="inlineStr">
        <is>
          <t>ALTERA O ANEXO DA LEI Nº 5645, DE 6 DE JANEIRO DE 2010, PARA INCLUIR NO CALENDÁRIO OFICIAL DO ESTADO DO RIO DE JANEIRO  A INSTITUIÇÃO DA SEMANA "EU FREIO PARA OS ANIMAIS" E DÁ OUTRAS PROVIDÊNCIAS.</t>
        </is>
      </c>
      <c r="E211" s="2" t="inlineStr">
        <is>
          <t>ANDERSON MORAES</t>
        </is>
      </c>
      <c r="F211" s="18" t="inlineStr">
        <is>
          <t>ZEIDAN</t>
        </is>
      </c>
      <c r="G211" s="10" t="inlineStr">
        <is>
          <t>FAVORÁVEL COM O SUBSTITUTIVO DA COMISSÃO DE CONSTITUIÇÃO E JUSTIÇA</t>
        </is>
      </c>
      <c r="H211" s="37" t="inlineStr">
        <is>
          <t>20/02/2026</t>
        </is>
      </c>
      <c r="I211" s="14" t="inlineStr">
        <is>
          <t>8ªRE 
16/12/2025</t>
        </is>
      </c>
      <c r="J211" s="9" t="n">
        <v>45902</v>
      </c>
      <c r="K211" s="9" t="n">
        <v>45909</v>
      </c>
      <c r="L211" s="9" t="n">
        <v>45946</v>
      </c>
      <c r="M211" s="9" t="n">
        <v>46076</v>
      </c>
      <c r="N211" s="4" t="n"/>
      <c r="O211" s="4" t="n"/>
      <c r="P211" s="4" t="n"/>
      <c r="Q211" s="4" t="inlineStr">
        <is>
          <t>Não</t>
        </is>
      </c>
      <c r="R211" s="13" t="n"/>
      <c r="S211" s="4" t="n"/>
      <c r="T211" s="4" t="n"/>
      <c r="U211" s="7" t="n"/>
      <c r="V211" s="3" t="inlineStr">
        <is>
          <t>http://alerjln1.alerj.rj.gov.br/scpro2327.nsf/18c1dd68f96be3e7832566ec0018d833/f86bb0c393a8f31203258ad20043ece2?OpenDocument</t>
        </is>
      </c>
      <c r="W211" s="3">
        <f>RIGHT(C211, 4)</f>
        <v/>
      </c>
      <c r="X211" s="3">
        <f>LEFT(C211, LEN(C211) - 5)</f>
        <v/>
      </c>
    </row>
    <row r="212" ht="60" customHeight="1" s="79">
      <c r="A212" s="2" t="inlineStr">
        <is>
          <t>Projeto Lei</t>
        </is>
      </c>
      <c r="B212" s="4" t="n">
        <v>39</v>
      </c>
      <c r="C212" s="73" t="inlineStr">
        <is>
          <t>3466/2024</t>
        </is>
      </c>
      <c r="D212" s="2" t="inlineStr">
        <is>
          <t>REVOGA A LEI Nº 2.789, DE 15 DE SETEMBRO DE 1997, QUE PROÍBE A UTILIZAÇÃO DE VEÍCULOS DE 2 (DUAS) RODAS NO TRANSPORTE DE PASSAGEIROS E DÁ OUTRAS PROVIDÊNCIAS.</t>
        </is>
      </c>
      <c r="E212" s="2" t="inlineStr">
        <is>
          <t>INDIA ARMELAU</t>
        </is>
      </c>
      <c r="F212" s="18" t="inlineStr">
        <is>
          <t>ZEIDAN</t>
        </is>
      </c>
      <c r="G212" s="10" t="inlineStr">
        <is>
          <t>FAVORÁVEL</t>
        </is>
      </c>
      <c r="H212" s="37" t="n"/>
      <c r="I212" s="14" t="inlineStr">
        <is>
          <t>PRÓXIMA</t>
        </is>
      </c>
      <c r="J212" s="9" t="n">
        <v>45904</v>
      </c>
      <c r="K212" s="9" t="n">
        <v>45909</v>
      </c>
      <c r="L212" s="9" t="n">
        <v>46111</v>
      </c>
      <c r="M212" s="4" t="n"/>
      <c r="N212" s="4" t="n"/>
      <c r="O212" s="4" t="n"/>
      <c r="P212" s="4" t="n"/>
      <c r="Q212" s="4" t="inlineStr">
        <is>
          <t>Sim</t>
        </is>
      </c>
      <c r="R212" s="13" t="n"/>
      <c r="S212" s="4" t="n"/>
      <c r="T212" s="4" t="n"/>
      <c r="U212" s="7" t="n"/>
      <c r="V212" s="3" t="inlineStr">
        <is>
          <t>http://alerjln1.alerj.rj.gov.br/scpro2327.nsf/18c1dd68f96be3e7832566ec0018d833/451f328aacd3549b03258b0e005e017c?OpenDocument</t>
        </is>
      </c>
      <c r="W212" s="3">
        <f>RIGHT(C212, 4)</f>
        <v/>
      </c>
      <c r="X212" s="3">
        <f>LEFT(C212, LEN(C212) - 5)</f>
        <v/>
      </c>
    </row>
    <row r="213" ht="60" customHeight="1" s="79">
      <c r="A213" s="2" t="inlineStr">
        <is>
          <t>Projeto Lei</t>
        </is>
      </c>
      <c r="B213" s="4">
        <f>RIGHT(C213,4)</f>
        <v/>
      </c>
      <c r="C213" s="73" t="inlineStr">
        <is>
          <t>1251/2023</t>
        </is>
      </c>
      <c r="D213" s="2" t="inlineStr">
        <is>
          <t>INSTITUI A POLÍTICA ESTADUAL DE CUIDADOS ÀS PESSOAS PORTADORAS DE TRANSTORNO DE ACUMULAÇÃO COMPULSIVA DE ANIMAIS E DÁ OUTRAS PROVIDÊNCIAS.</t>
        </is>
      </c>
      <c r="E213" s="2" t="inlineStr">
        <is>
          <t>JORGE FELIPPE NETO</t>
        </is>
      </c>
      <c r="F213" s="18" t="inlineStr">
        <is>
          <t>ZEIDAN</t>
        </is>
      </c>
      <c r="G213" s="10" t="n"/>
      <c r="H213" s="37" t="n"/>
      <c r="I213" s="14" t="n"/>
      <c r="J213" s="9" t="n">
        <v>45905</v>
      </c>
      <c r="K213" s="9" t="n">
        <v>45909</v>
      </c>
      <c r="L213" s="9" t="n"/>
      <c r="M213" s="4" t="n"/>
      <c r="N213" s="4" t="n"/>
      <c r="O213" s="4" t="n"/>
      <c r="P213" s="4" t="n"/>
      <c r="Q213" s="4" t="inlineStr">
        <is>
          <t>Com Relator</t>
        </is>
      </c>
      <c r="R213" s="13" t="n"/>
      <c r="S213" s="4" t="n"/>
      <c r="T213" s="4" t="n"/>
      <c r="U213" s="7" t="n"/>
      <c r="V213" s="3" t="inlineStr">
        <is>
          <t>http://alerjln1.alerj.rj.gov.br/scpro2327.nsf/18c1dd68f96be3e7832566ec0018d833/ccc3d1958e4be412032589c5006629ed?OpenDocument</t>
        </is>
      </c>
      <c r="W213" s="3">
        <f>RIGHT(C213, 4)</f>
        <v/>
      </c>
      <c r="X213" s="3">
        <f>LEFT(C213, LEN(C213) - 5)</f>
        <v/>
      </c>
    </row>
    <row r="214" ht="45" customHeight="1" s="79">
      <c r="A214" s="2" t="inlineStr">
        <is>
          <t>Projeto Lei</t>
        </is>
      </c>
      <c r="B214" s="4">
        <f>RIGHT(C214,4)</f>
        <v/>
      </c>
      <c r="C214" s="71" t="inlineStr">
        <is>
          <t>1758/2023</t>
        </is>
      </c>
      <c r="D214" s="72" t="inlineStr">
        <is>
          <t>ALTERA A REDAÇÃO  DO ART. 48 DA LEI 443/81, PARA DISPOR SOBRE OS DEPENDENTES DO MILITAR:</t>
        </is>
      </c>
      <c r="E214" s="72" t="inlineStr">
        <is>
          <t>MARCELO DINO, Carlinhos Bnh, India Armelau, Rodrigo Amorim</t>
        </is>
      </c>
      <c r="F214" s="18" t="inlineStr">
        <is>
          <t>NÃO ACHEI AQUI NA SALA!!!</t>
        </is>
      </c>
      <c r="G214" s="10" t="n"/>
      <c r="H214" s="37" t="n"/>
      <c r="I214" s="14" t="n"/>
      <c r="J214" s="9" t="n">
        <v>45905</v>
      </c>
      <c r="K214" s="9" t="n">
        <v>46168</v>
      </c>
      <c r="L214" s="9" t="n"/>
      <c r="M214" s="4" t="n"/>
      <c r="N214" s="4" t="n"/>
      <c r="O214" s="4" t="n"/>
      <c r="P214" s="4" t="n"/>
      <c r="Q214" s="4" t="inlineStr">
        <is>
          <t>Sim</t>
        </is>
      </c>
      <c r="R214" s="13" t="inlineStr">
        <is>
          <t>TIL</t>
        </is>
      </c>
      <c r="S214" s="4" t="n"/>
      <c r="T214" s="4" t="n"/>
      <c r="U214" s="7" t="n"/>
      <c r="V214" s="3" t="inlineStr">
        <is>
          <t>http://alerjln1.alerj.rj.gov.br/scpro2327.nsf/18c1dd68f96be3e7832566ec0018d833/80f984270a04400903258a06005df01c?OpenDocument</t>
        </is>
      </c>
      <c r="W214" s="3">
        <f>RIGHT(C214, 4)</f>
        <v/>
      </c>
      <c r="X214" s="3">
        <f>LEFT(C214, LEN(C214) - 5)</f>
        <v/>
      </c>
    </row>
    <row r="215" ht="75" customHeight="1" s="79">
      <c r="A215" s="2" t="inlineStr">
        <is>
          <t>Projeto Lei</t>
        </is>
      </c>
      <c r="B215" s="4" t="n">
        <v>35</v>
      </c>
      <c r="C215" s="73" t="inlineStr">
        <is>
          <t>1961/2023</t>
        </is>
      </c>
      <c r="D215" s="2" t="inlineStr">
        <is>
          <t>DISPÕE SOBRE A COLETA DE DADOS SOBRE SUICÍDIO, TENTATIVA DE SUICÍDIO E HOMICÍDIO SEGUIDO DE SUICÍDIO DOS AGENTES DE SEGURANÇA PÚBLICA, NO ÂMBITO DO ESTADO DO RIO DE JANEIRO.</t>
        </is>
      </c>
      <c r="E215" s="2" t="inlineStr">
        <is>
          <t>RENATA SOUZA</t>
        </is>
      </c>
      <c r="F215" s="18" t="inlineStr">
        <is>
          <t>ZEIDAN</t>
        </is>
      </c>
      <c r="G215" s="10" t="inlineStr">
        <is>
          <t>FAVORÁVEL COM AS EMENDAS DA COMISSÃO DE CONSTITUIÇÃO E JUSTIÇA</t>
        </is>
      </c>
      <c r="H215" s="37" t="n"/>
      <c r="I215" s="14" t="inlineStr">
        <is>
          <t>PRÓXIMA</t>
        </is>
      </c>
      <c r="J215" s="9" t="n">
        <v>45905</v>
      </c>
      <c r="K215" s="9" t="n">
        <v>45909</v>
      </c>
      <c r="L215" s="9" t="n">
        <v>46111</v>
      </c>
      <c r="M215" s="4" t="n"/>
      <c r="N215" s="4" t="n"/>
      <c r="O215" s="4" t="n"/>
      <c r="P215" s="4" t="n"/>
      <c r="Q215" s="4" t="inlineStr">
        <is>
          <t>Sim</t>
        </is>
      </c>
      <c r="R215" s="13" t="n"/>
      <c r="S215" s="4" t="n"/>
      <c r="T215" s="4" t="n"/>
      <c r="U215" s="7" t="n"/>
      <c r="V215" s="3" t="inlineStr">
        <is>
          <t>http://alerjln1.alerj.rj.gov.br/scpro2327.nsf/18c1dd68f96be3e7832566ec0018d833/0bc5256d3bcd57d303258a2100591843?OpenDocument</t>
        </is>
      </c>
      <c r="W215" s="3">
        <f>RIGHT(C215, 4)</f>
        <v/>
      </c>
      <c r="X215" s="3">
        <f>LEFT(C215, LEN(C215) - 5)</f>
        <v/>
      </c>
    </row>
    <row r="216" ht="60" customHeight="1" s="79">
      <c r="A216" s="2" t="inlineStr">
        <is>
          <t>Projeto Lei</t>
        </is>
      </c>
      <c r="B216" s="4">
        <f>RIGHT(C216,4)</f>
        <v/>
      </c>
      <c r="C216" s="73" t="inlineStr">
        <is>
          <t>2260/2023</t>
        </is>
      </c>
      <c r="D216" s="2" t="inlineStr">
        <is>
          <t>PROÍBE A INVESTIDURA EM CARGO, EMPREGO OU FUNÇÃO PÚBLICA POR PESSOA CONDENADA PELO CRIME DE MAUS-TRATOS CONTRA ANIMAIS.</t>
        </is>
      </c>
      <c r="E216" s="2" t="inlineStr">
        <is>
          <t>BRAZÃO, RODRIGO BACELLAR, MARCELO DINO, FRED PACHECO, India Armelau</t>
        </is>
      </c>
      <c r="F216" s="18" t="inlineStr">
        <is>
          <t>ALEXANDRE KNOPLOCH</t>
        </is>
      </c>
      <c r="G216" s="10" t="inlineStr">
        <is>
          <t>FAVORÁVEL</t>
        </is>
      </c>
      <c r="H216" s="37" t="inlineStr">
        <is>
          <t>06/02/2026</t>
        </is>
      </c>
      <c r="I216" s="14" t="inlineStr">
        <is>
          <t>8ªRE 
16/12/2025</t>
        </is>
      </c>
      <c r="J216" s="9" t="n">
        <v>45905</v>
      </c>
      <c r="K216" s="9" t="n">
        <v>45909</v>
      </c>
      <c r="L216" s="9" t="n">
        <v>45943</v>
      </c>
      <c r="M216" s="4" t="n"/>
      <c r="N216" s="4" t="n"/>
      <c r="O216" s="4" t="n"/>
      <c r="P216" s="4" t="n"/>
      <c r="Q216" s="4" t="inlineStr">
        <is>
          <t>Sim</t>
        </is>
      </c>
      <c r="R216" s="13" t="n"/>
      <c r="S216" s="4" t="n"/>
      <c r="T216" s="4" t="n"/>
      <c r="U216" s="7" t="n"/>
      <c r="V216" s="3" t="inlineStr">
        <is>
          <t>http://alerjln1.alerj.rj.gov.br/scpro2327.nsf/18c1dd68f96be3e7832566ec0018d833/50810f7b6cd0763603258a3d0060b3e4?OpenDocument</t>
        </is>
      </c>
      <c r="W216" s="3">
        <f>RIGHT(C216, 4)</f>
        <v/>
      </c>
      <c r="X216" s="3">
        <f>LEFT(C216, LEN(C216) - 5)</f>
        <v/>
      </c>
    </row>
    <row r="217" ht="60" customHeight="1" s="79">
      <c r="A217" s="2" t="inlineStr">
        <is>
          <t>Projeto Lei</t>
        </is>
      </c>
      <c r="B217" s="4">
        <f>RIGHT(C217,4)</f>
        <v/>
      </c>
      <c r="C217" s="73" t="inlineStr">
        <is>
          <t>2864/2024</t>
        </is>
      </c>
      <c r="D217" s="2" t="inlineStr">
        <is>
          <t>ALTERA A LEI Nº 8.612 DE 06 DE NOVEMBRO DE 2019, QUE INSTITUI O PROGRAMA "LIÇÕES DE PRIMEIROS SOCORROS" NA REDE ESCOLAR EM TODO O ESTADO DO RIO DE JANEIRO</t>
        </is>
      </c>
      <c r="E217" s="2" t="inlineStr">
        <is>
          <t>VINICIUS COZZOLINO</t>
        </is>
      </c>
      <c r="F217" s="18" t="inlineStr">
        <is>
          <t>ALEXANDRE KNOPLOCH</t>
        </is>
      </c>
      <c r="G217" s="10" t="inlineStr">
        <is>
          <t>FAVORÁVEL</t>
        </is>
      </c>
      <c r="H217" s="37" t="inlineStr">
        <is>
          <t>26/02/2026</t>
        </is>
      </c>
      <c r="I217" s="14" t="inlineStr">
        <is>
          <t>8ªRE 
16/12/2025</t>
        </is>
      </c>
      <c r="J217" s="9" t="n">
        <v>45905</v>
      </c>
      <c r="K217" s="9" t="n">
        <v>45909</v>
      </c>
      <c r="L217" s="9" t="n">
        <v>45979</v>
      </c>
      <c r="M217" s="9" t="n"/>
      <c r="N217" s="9" t="n"/>
      <c r="O217" s="9" t="n"/>
      <c r="P217" s="9" t="n"/>
      <c r="Q217" s="4" t="inlineStr">
        <is>
          <t>Sim</t>
        </is>
      </c>
      <c r="R217" s="13" t="n"/>
      <c r="S217" s="4" t="n"/>
      <c r="T217" s="4" t="n"/>
      <c r="U217" s="7" t="n"/>
      <c r="V217" s="3" t="inlineStr">
        <is>
          <t>http://alerjln1.alerj.rj.gov.br/scpro2327.nsf/18c1dd68f96be3e7832566ec0018d833/5a597e764f5094c203258ab60068c49f?OpenDocument</t>
        </is>
      </c>
      <c r="W217" s="3">
        <f>RIGHT(C217, 4)</f>
        <v/>
      </c>
      <c r="X217" s="3">
        <f>LEFT(C217, LEN(C217) - 5)</f>
        <v/>
      </c>
    </row>
    <row r="218" ht="45" customHeight="1" s="79">
      <c r="A218" s="2" t="inlineStr">
        <is>
          <t>Projeto Lei</t>
        </is>
      </c>
      <c r="B218" s="4">
        <f>RIGHT(C218,4)</f>
        <v/>
      </c>
      <c r="C218" s="73" t="inlineStr">
        <is>
          <t>3095/2024</t>
        </is>
      </c>
      <c r="D218" s="2" t="inlineStr">
        <is>
          <t>IMPLEMENTA A UTILIZAÇÃO DE DROGÔMETRO OU SALIVÔMETRO NAS BLITZE DA LEI SECA NO ÂMBITO DO ESTADO DO RIO DE JANEIRO.</t>
        </is>
      </c>
      <c r="E218" s="2" t="inlineStr">
        <is>
          <t>RODRIGO AMORIM</t>
        </is>
      </c>
      <c r="F218" s="18" t="inlineStr">
        <is>
          <t>ALEXANDRE KNOPLOCH</t>
        </is>
      </c>
      <c r="G218" s="10" t="inlineStr">
        <is>
          <t>FAVORÁVEL</t>
        </is>
      </c>
      <c r="H218" s="37" t="inlineStr">
        <is>
          <t>26/02/2026</t>
        </is>
      </c>
      <c r="I218" s="14" t="inlineStr">
        <is>
          <t>8ªRE 
16/12/2025</t>
        </is>
      </c>
      <c r="J218" s="9" t="n">
        <v>45905</v>
      </c>
      <c r="K218" s="9" t="n">
        <v>45909</v>
      </c>
      <c r="L218" s="9" t="n">
        <v>45979</v>
      </c>
      <c r="M218" s="9" t="n"/>
      <c r="N218" s="9" t="n"/>
      <c r="O218" s="9" t="n"/>
      <c r="P218" s="9" t="n"/>
      <c r="Q218" s="4" t="inlineStr">
        <is>
          <t>Sim</t>
        </is>
      </c>
      <c r="R218" s="2" t="n"/>
      <c r="S218" s="4" t="n"/>
      <c r="T218" s="4" t="n"/>
      <c r="U218" s="7" t="n"/>
      <c r="V218" s="3" t="inlineStr">
        <is>
          <t>http://alerjln1.alerj.rj.gov.br/scpro2327.nsf/18c1dd68f96be3e7832566ec0018d833/a96eaec535928abf03258ad7005a5666?OpenDocument</t>
        </is>
      </c>
      <c r="W218" s="3">
        <f>RIGHT(C218, 4)</f>
        <v/>
      </c>
      <c r="X218" s="3">
        <f>LEFT(C218, LEN(C218) - 5)</f>
        <v/>
      </c>
    </row>
    <row r="219" ht="90" customHeight="1" s="79">
      <c r="A219" s="2" t="inlineStr">
        <is>
          <t>Projeto Lei</t>
        </is>
      </c>
      <c r="B219" s="4">
        <f>RIGHT(C219,4)</f>
        <v/>
      </c>
      <c r="C219" s="73" t="inlineStr">
        <is>
          <t>3434/2024</t>
        </is>
      </c>
      <c r="D219" s="2" t="inlineStr">
        <is>
          <t>INSTITUI O SELO “FAIR PLAY - JOGO LIMPO”, PARA CERTIFICAR OS CLUBES DE FUTEBOL QUE TENHAM AÇÕES QUE OBJETIVEM A ERRADICAÇÃO DE FENÔMENOS DE VIOLÊNCIA POR OCASIÃO DE COMPETIÇÕES ESPORTIVAS, NO ÂMBITO DO ESTADO DO RIO DE JANEIRO, NA FORMA EM QUE MENCIONA.</t>
        </is>
      </c>
      <c r="E219" s="2" t="inlineStr">
        <is>
          <t>ROSENVERG REIS</t>
        </is>
      </c>
      <c r="F219" s="18" t="inlineStr">
        <is>
          <t>ALEXANDRE KNOPLOCH</t>
        </is>
      </c>
      <c r="G219" s="10" t="n"/>
      <c r="H219" s="37" t="n"/>
      <c r="I219" s="14" t="n"/>
      <c r="J219" s="9" t="n">
        <v>45905</v>
      </c>
      <c r="K219" s="9" t="n">
        <v>45909</v>
      </c>
      <c r="L219" s="9" t="n"/>
      <c r="M219" s="4" t="n"/>
      <c r="N219" s="4" t="n"/>
      <c r="O219" s="4" t="n"/>
      <c r="P219" s="4" t="n"/>
      <c r="Q219" s="4" t="inlineStr">
        <is>
          <t>Com Relator</t>
        </is>
      </c>
      <c r="R219" s="13" t="n"/>
      <c r="S219" s="4" t="n"/>
      <c r="T219" s="4" t="n"/>
      <c r="U219" s="7" t="n"/>
      <c r="V219" s="3" t="inlineStr">
        <is>
          <t>http://alerjln1.alerj.rj.gov.br/scpro2327.nsf/18c1dd68f96be3e7832566ec0018d833/07e9bebf8422ef2203258b0a005975d2?OpenDocument</t>
        </is>
      </c>
      <c r="W219" s="3">
        <f>RIGHT(C219, 4)</f>
        <v/>
      </c>
      <c r="X219" s="3">
        <f>LEFT(C219, LEN(C219) - 5)</f>
        <v/>
      </c>
    </row>
    <row r="220" ht="75" customHeight="1" s="79">
      <c r="A220" s="2" t="inlineStr">
        <is>
          <t>Projeto Lei</t>
        </is>
      </c>
      <c r="B220" s="4">
        <f>RIGHT(C220,4)</f>
        <v/>
      </c>
      <c r="C220" s="73" t="inlineStr">
        <is>
          <t>3947/2024</t>
        </is>
      </c>
      <c r="D220" s="2" t="inlineStr">
        <is>
          <t>RECONHECE NO ÂMBITO DO ESTADO DO RIO DE JANEIRO O “CORDÃO DE FITA COM DESENHOS DE BORBOLETAS E/OU LAÇOS NA COR ROXA” COMO SÍMBOLO DE IDENTIFICAÇÃO DE PESSOAS COM FIBROMIALGIA.</t>
        </is>
      </c>
      <c r="E220" s="2" t="inlineStr">
        <is>
          <t>FRED PACHECO</t>
        </is>
      </c>
      <c r="F220" s="18" t="inlineStr">
        <is>
          <t>ALEXANDRE KNOPLOCH</t>
        </is>
      </c>
      <c r="G220" s="10" t="inlineStr">
        <is>
          <t>FAVORÁVEL</t>
        </is>
      </c>
      <c r="H220" s="37" t="inlineStr">
        <is>
          <t>06/02/2026</t>
        </is>
      </c>
      <c r="I220" s="14" t="inlineStr">
        <is>
          <t>8ªRE 
16/12/2025</t>
        </is>
      </c>
      <c r="J220" s="9" t="n">
        <v>45905</v>
      </c>
      <c r="K220" s="9" t="n">
        <v>45909</v>
      </c>
      <c r="L220" s="9" t="n">
        <v>45943</v>
      </c>
      <c r="M220" s="4" t="n"/>
      <c r="N220" s="4" t="n"/>
      <c r="O220" s="4" t="n"/>
      <c r="P220" s="4" t="n"/>
      <c r="Q220" s="4" t="inlineStr">
        <is>
          <t>Sim</t>
        </is>
      </c>
      <c r="R220" s="13" t="n"/>
      <c r="S220" s="4" t="n"/>
      <c r="T220" s="4" t="n"/>
      <c r="U220" s="7" t="n"/>
      <c r="V220" s="3" t="inlineStr">
        <is>
          <t>http://alerjln1.alerj.rj.gov.br/scpro2327.nsf/18c1dd68f96be3e7832566ec0018d833/d50dc427eba2ec7003258b7200505f6f?OpenDocument</t>
        </is>
      </c>
      <c r="W220" s="3">
        <f>RIGHT(C220, 4)</f>
        <v/>
      </c>
      <c r="X220" s="3">
        <f>LEFT(C220, LEN(C220) - 5)</f>
        <v/>
      </c>
    </row>
    <row r="221" ht="75" customHeight="1" s="79">
      <c r="A221" s="2" t="inlineStr">
        <is>
          <t>Projeto Lei</t>
        </is>
      </c>
      <c r="B221" s="4">
        <f>RIGHT(C221,4)</f>
        <v/>
      </c>
      <c r="C221" s="73" t="inlineStr">
        <is>
          <t>4183/2024</t>
        </is>
      </c>
      <c r="D221" s="2" t="inlineStr">
        <is>
          <t>ALTERA A LEI Nº 7.329, DE 08 DE JULHO DE 2016, QUE “INSTITUI, NO ÂMBITO DO ESTADO DO RIO DE JANEIRO, A LEI DE DIRETRIZES PARA A PROMOÇÃO DA ACESSIBILIDADE DAS PESSOAS COM DEFICIÊNCIA E MOBILIDADE REDUZIDA E DÁ OUTRAS PROVIDÊNCIAS.</t>
        </is>
      </c>
      <c r="E221" s="2" t="inlineStr">
        <is>
          <t>THIAGO GAGLIASSO</t>
        </is>
      </c>
      <c r="F221" s="18" t="inlineStr">
        <is>
          <t>VINICIUS COZZOLINO</t>
        </is>
      </c>
      <c r="G221" s="10" t="inlineStr">
        <is>
          <t>FAVORÁVEL</t>
        </is>
      </c>
      <c r="H221" s="37" t="inlineStr">
        <is>
          <t>26/02/2026</t>
        </is>
      </c>
      <c r="I221" s="14" t="inlineStr">
        <is>
          <t>8ªRE 
16/12/2025</t>
        </is>
      </c>
      <c r="J221" s="9" t="n">
        <v>45905</v>
      </c>
      <c r="K221" s="9" t="n">
        <v>45909</v>
      </c>
      <c r="L221" s="9" t="n">
        <v>45930</v>
      </c>
      <c r="M221" s="4" t="n"/>
      <c r="N221" s="4" t="n"/>
      <c r="O221" s="4" t="n"/>
      <c r="P221" s="4" t="n"/>
      <c r="Q221" s="4" t="inlineStr">
        <is>
          <t>Sim</t>
        </is>
      </c>
      <c r="R221" s="13" t="n"/>
      <c r="S221" s="4" t="n"/>
      <c r="T221" s="4" t="n"/>
      <c r="U221" s="7" t="n"/>
      <c r="V221" s="3" t="inlineStr">
        <is>
          <t>http://alerjln1.alerj.rj.gov.br/scpro2327.nsf/18c1dd68f96be3e7832566ec0018d833/060f4dded9323fd403258ba200538c0a?OpenDocument</t>
        </is>
      </c>
      <c r="W221" s="3">
        <f>RIGHT(C221, 4)</f>
        <v/>
      </c>
      <c r="X221" s="3">
        <f>LEFT(C221, LEN(C221) - 5)</f>
        <v/>
      </c>
    </row>
    <row r="222" ht="75" customHeight="1" s="79">
      <c r="A222" s="2" t="inlineStr">
        <is>
          <t>Projeto Lei</t>
        </is>
      </c>
      <c r="B222" s="4">
        <f>RIGHT(C222,4)</f>
        <v/>
      </c>
      <c r="C222" s="73" t="inlineStr">
        <is>
          <t>6042/2022</t>
        </is>
      </c>
      <c r="D222" s="2" t="inlineStr">
        <is>
          <t>ALTERA A LEI ESTADUAL Nº 2.242 DE 26 DE MAIO DE 1994, QUE AUTORIZA O PODER EXECUTIVO A REALIZAR AS MODALIDADES DE LOTERIA QUE MENCIONA E DÁ OUTRAS PROVIDÊNCIAS.</t>
        </is>
      </c>
      <c r="E222" s="2" t="inlineStr">
        <is>
          <t>ROSENVERG REIS</t>
        </is>
      </c>
      <c r="F222" s="18" t="inlineStr">
        <is>
          <t>CARLOS MACEDO</t>
        </is>
      </c>
      <c r="G222" s="10" t="inlineStr">
        <is>
          <t>FAVORÁVEL AO SUBSTITUTIVO DA COMISSÃO DE CONSTITUIÇÃO E JUSTIÇA</t>
        </is>
      </c>
      <c r="H222" s="37" t="inlineStr">
        <is>
          <t>26/02/2026</t>
        </is>
      </c>
      <c r="I222" s="14" t="inlineStr">
        <is>
          <t>8ªRE 
16/12/2025</t>
        </is>
      </c>
      <c r="J222" s="9" t="n"/>
      <c r="K222" s="4" t="n"/>
      <c r="L222" s="9" t="n"/>
      <c r="M222" s="4" t="n"/>
      <c r="N222" s="4" t="n"/>
      <c r="O222" s="4" t="n"/>
      <c r="P222" s="4" t="n"/>
      <c r="Q222" s="4" t="inlineStr">
        <is>
          <t>Sim</t>
        </is>
      </c>
      <c r="R222" s="13" t="inlineStr">
        <is>
          <t>Estava com vista para o dep. LP em 14-10-2024</t>
        </is>
      </c>
      <c r="S222" s="4" t="n"/>
      <c r="T222" s="4" t="n"/>
      <c r="U222" s="7" t="n"/>
      <c r="V222" s="3" t="inlineStr">
        <is>
          <t>http://alerjln1.alerj.rj.gov.br/scpro1923.nsf/18c1dd68f96be3e7832566ec0018d833/90fc4e7bd2723e970325885400612d7e?OpenDocument</t>
        </is>
      </c>
      <c r="W222" s="3">
        <f>RIGHT(C222, 4)</f>
        <v/>
      </c>
      <c r="X222" s="3">
        <f>LEFT(C222, LEN(C222) - 5)</f>
        <v/>
      </c>
    </row>
    <row r="223" ht="90" customHeight="1" s="79">
      <c r="A223" s="2" t="inlineStr">
        <is>
          <t>Projeto Lei</t>
        </is>
      </c>
      <c r="B223" s="4">
        <f>RIGHT(C223,4)</f>
        <v/>
      </c>
      <c r="C223" s="73" t="inlineStr">
        <is>
          <t>2348/2020</t>
        </is>
      </c>
      <c r="D223" s="2" t="inlineStr">
        <is>
          <t>ALTERA A LEI Nº 6.717, DE 18 DE MARÇO DE 2014, QUE PROÍBE O INGRESSO OU PERMANÊNCIA DE PESSOAS UTILIZANDO CAPACETE OU QUALQUER TIPO DE COBERTURA QUE OCULTE A FACE, NOS ESTABELECIMENTOS COMERCIAIS, PÚBLICOS OU ABERTOS AO PÚBLICO.</t>
        </is>
      </c>
      <c r="E223" s="2" t="inlineStr">
        <is>
          <t>LUCINHA,LUIZ PAULO</t>
        </is>
      </c>
      <c r="F223" s="18" t="inlineStr">
        <is>
          <t>VINICIUS COZZOLINO</t>
        </is>
      </c>
      <c r="G223" s="10" t="inlineStr">
        <is>
          <t>FAVORÁVEL COM AS EMENDAS DA COMISSÃO DE ECONOMIA, INDÚSTRIA E COMÉRCIO</t>
        </is>
      </c>
      <c r="H223" s="37" t="inlineStr">
        <is>
          <t>26/02/2026</t>
        </is>
      </c>
      <c r="I223" s="14" t="inlineStr">
        <is>
          <t>8ªRE 
16/12/2025</t>
        </is>
      </c>
      <c r="J223" s="9" t="n">
        <v>45905</v>
      </c>
      <c r="K223" s="9" t="n">
        <v>45909</v>
      </c>
      <c r="L223" s="9" t="n">
        <v>45930</v>
      </c>
      <c r="M223" s="4" t="n"/>
      <c r="N223" s="4" t="n"/>
      <c r="O223" s="4" t="n"/>
      <c r="P223" s="4" t="n"/>
      <c r="Q223" s="4" t="inlineStr">
        <is>
          <t>Sim</t>
        </is>
      </c>
      <c r="R223" s="13" t="inlineStr">
        <is>
          <t>Estava com vista para o dep. LP em 13-12-2023 e tem parecer do Andrézinho Ceciliano</t>
        </is>
      </c>
      <c r="S223" s="4" t="n"/>
      <c r="T223" s="4" t="n"/>
      <c r="U223" s="7" t="n"/>
      <c r="V223" s="3" t="inlineStr">
        <is>
          <t>http://alerjln1.alerj.rj.gov.br/scpro1923.nsf/18c1dd68f96be3e7832566ec0018d833/f29ad54e352bb7890325854a0058fe81?OpenDocument</t>
        </is>
      </c>
      <c r="W223" s="3">
        <f>RIGHT(C223, 4)</f>
        <v/>
      </c>
      <c r="X223" s="3">
        <f>LEFT(C223, LEN(C223) - 5)</f>
        <v/>
      </c>
    </row>
    <row r="224" ht="60" customHeight="1" s="79">
      <c r="A224" s="2" t="inlineStr">
        <is>
          <t>Projeto Lei</t>
        </is>
      </c>
      <c r="B224" s="4">
        <f>RIGHT(C224,4)</f>
        <v/>
      </c>
      <c r="C224" s="73" t="inlineStr">
        <is>
          <t>3737/2021</t>
        </is>
      </c>
      <c r="D224" s="2" t="inlineStr">
        <is>
          <t>DISPÕE  SOBRE CRIAÇÃO DE PLATAFORMA DIGITAL DE MONITORAMENTO DA SAÚDE DA MULHER NO ÂMBITO DA SECRETARIA DE SAÚDE DO ESTADO DO RIO DE JANEIRO</t>
        </is>
      </c>
      <c r="E224" s="2" t="inlineStr">
        <is>
          <t>MARTHA ROCHA</t>
        </is>
      </c>
      <c r="F224" s="18" t="inlineStr">
        <is>
          <t>CARLOS MACEDO</t>
        </is>
      </c>
      <c r="G224" s="10" t="inlineStr">
        <is>
          <t>FAVORÁVEL</t>
        </is>
      </c>
      <c r="H224" s="37" t="inlineStr">
        <is>
          <t>11/02/2026</t>
        </is>
      </c>
      <c r="I224" s="14" t="inlineStr">
        <is>
          <t>8ªRE 
16/12/2025</t>
        </is>
      </c>
      <c r="J224" s="9" t="n">
        <v>45909</v>
      </c>
      <c r="K224" s="9" t="n">
        <v>45909</v>
      </c>
      <c r="L224" s="9" t="n">
        <v>45993</v>
      </c>
      <c r="M224" s="9" t="n">
        <v>46065</v>
      </c>
      <c r="N224" s="4" t="n"/>
      <c r="O224" s="4" t="n"/>
      <c r="P224" s="4" t="n"/>
      <c r="Q224" s="4" t="inlineStr">
        <is>
          <t>Não</t>
        </is>
      </c>
      <c r="R224" s="13" t="n"/>
      <c r="S224" s="4" t="n"/>
      <c r="T224" s="4" t="n"/>
      <c r="U224" s="7" t="n"/>
      <c r="V224" s="3" t="inlineStr">
        <is>
          <t>http://alerjln1.alerj.rj.gov.br/scpro1923.nsf/18c1dd68f96be3e7832566ec0018d833/3b6ea8f01bce499903258687005f6109?OpenDocument</t>
        </is>
      </c>
      <c r="W224" s="3">
        <f>RIGHT(C224, 4)</f>
        <v/>
      </c>
      <c r="X224" s="3">
        <f>LEFT(C224, LEN(C224) - 5)</f>
        <v/>
      </c>
    </row>
    <row r="225" ht="75" customHeight="1" s="79">
      <c r="A225" s="2" t="inlineStr">
        <is>
          <t>Projeto Lei</t>
        </is>
      </c>
      <c r="B225" s="4" t="n">
        <v>15</v>
      </c>
      <c r="C225" s="73" t="inlineStr">
        <is>
          <t>5863/2022</t>
        </is>
      </c>
      <c r="D225" s="2" t="inlineStr">
        <is>
          <t>DETERMINA A CRIAÇÃO DO PROGRAMA ESTADUAL DE ATENDIMENTO À GESTANTE PORTADORA DO ESPECTRO AUTISTA</t>
        </is>
      </c>
      <c r="E225" s="2" t="inlineStr">
        <is>
          <t>MARTHA ROCHA, Brazão</t>
        </is>
      </c>
      <c r="F225" s="18" t="inlineStr">
        <is>
          <t>CARLOS MACEDO</t>
        </is>
      </c>
      <c r="G225" s="10" t="inlineStr">
        <is>
          <t>FAVORÁVEL COM AS EMENDAS DA COMISSÃO DE CONSTITUIÇÃO E JUSTIÇA</t>
        </is>
      </c>
      <c r="H225" s="37" t="n"/>
      <c r="I225" s="14" t="inlineStr">
        <is>
          <t>PRÓXIMA</t>
        </is>
      </c>
      <c r="J225" s="9" t="n">
        <v>45909</v>
      </c>
      <c r="K225" s="9" t="n">
        <v>45909</v>
      </c>
      <c r="L225" s="9" t="n">
        <v>46169</v>
      </c>
      <c r="M225" s="4" t="n"/>
      <c r="N225" s="4" t="n"/>
      <c r="O225" s="4" t="n"/>
      <c r="P225" s="4" t="n"/>
      <c r="Q225" s="4" t="inlineStr">
        <is>
          <t>Sim</t>
        </is>
      </c>
      <c r="R225" s="13" t="inlineStr">
        <is>
          <t>Apensado -&gt; 6476/2022</t>
        </is>
      </c>
      <c r="S225" s="4" t="n"/>
      <c r="T225" s="4" t="n"/>
      <c r="U225" s="7" t="n"/>
      <c r="V225" s="3" t="inlineStr">
        <is>
          <t>http://alerjln1.alerj.rj.gov.br/scpro1923.nsf/18c1dd68f96be3e7832566ec0018d833/1603127426e928cb03258837004bcf91?OpenDocument</t>
        </is>
      </c>
      <c r="W225" s="3">
        <f>RIGHT(C225, 4)</f>
        <v/>
      </c>
      <c r="X225" s="3">
        <f>LEFT(C225, LEN(C225) - 5)</f>
        <v/>
      </c>
    </row>
    <row r="226" ht="75" customHeight="1" s="79">
      <c r="A226" s="2" t="inlineStr">
        <is>
          <t>Projeto Lei</t>
        </is>
      </c>
      <c r="B226" s="4">
        <f>RIGHT(C226,4)</f>
        <v/>
      </c>
      <c r="C226" s="73" t="inlineStr">
        <is>
          <t>5976/2022</t>
        </is>
      </c>
      <c r="D226" s="2" t="inlineStr">
        <is>
          <t>DISPÕE SOBRE O FORNECIMENTO GRATUITO DE UNIFORMES ESCOLARES PARA OS ESTUDANTES DA EDUCAÇÃO BÁSICA DA FUNDAÇÃO DE APOIO À ESCOLA TÉCNICA - FAETEC.</t>
        </is>
      </c>
      <c r="E226" s="2" t="inlineStr">
        <is>
          <t>FLÁVIO SERAFINI</t>
        </is>
      </c>
      <c r="F226" s="18" t="inlineStr">
        <is>
          <t>LUIZ PAULO</t>
        </is>
      </c>
      <c r="G226" s="10" t="inlineStr">
        <is>
          <t>FAVORÁVEL COM AS EMENDAS DA COMISSÃO DE CONSTITUIÇÃO E JUSTIÇA</t>
        </is>
      </c>
      <c r="H226" s="37" t="inlineStr">
        <is>
          <t>26/02/2026</t>
        </is>
      </c>
      <c r="I226" s="14" t="inlineStr">
        <is>
          <t>8ªRE 
16/12/2025</t>
        </is>
      </c>
      <c r="J226" s="9" t="n">
        <v>45909</v>
      </c>
      <c r="K226" s="9" t="n">
        <v>45909</v>
      </c>
      <c r="L226" s="9" t="n">
        <v>45988</v>
      </c>
      <c r="M226" s="4" t="n"/>
      <c r="N226" s="4" t="n"/>
      <c r="O226" s="4" t="n"/>
      <c r="P226" s="4" t="n"/>
      <c r="Q226" s="4" t="inlineStr">
        <is>
          <t>Sim</t>
        </is>
      </c>
      <c r="R226" s="13" t="n"/>
      <c r="S226" s="4" t="n"/>
      <c r="T226" s="4" t="n"/>
      <c r="U226" s="7" t="n"/>
      <c r="V226" s="3" t="inlineStr">
        <is>
          <t>http://alerjln1.alerj.rj.gov.br/scpro1923.nsf/18c1dd68f96be3e7832566ec0018d833/f925b08106059c5a0325884c00611705?OpenDocument</t>
        </is>
      </c>
      <c r="W226" s="3">
        <f>RIGHT(C226, 4)</f>
        <v/>
      </c>
      <c r="X226" s="3">
        <f>LEFT(C226, LEN(C226) - 5)</f>
        <v/>
      </c>
    </row>
    <row r="227" ht="75" customHeight="1" s="79">
      <c r="A227" s="2" t="inlineStr">
        <is>
          <t>Projeto Lei</t>
        </is>
      </c>
      <c r="B227" s="4">
        <f>RIGHT(C227,4)</f>
        <v/>
      </c>
      <c r="C227" s="73" t="inlineStr">
        <is>
          <t>876/2023</t>
        </is>
      </c>
      <c r="D227" s="2" t="inlineStr">
        <is>
          <t>INSTITUI O PROGRAMA "TEATENÇÃO DA SAÚDE BUCAL", PARA FINS DE GARANTIR A ATENÇÃO E CUIDADOS ADEQUADOS PARA O TRATAMENTO DA SAÚDE BUCAL DA PESSOA COM TRANSTORNO DO ESPECTRO AUTISTA - TEA.</t>
        </is>
      </c>
      <c r="E227" s="2" t="inlineStr">
        <is>
          <t>MÁRCIO CANELLA</t>
        </is>
      </c>
      <c r="F227" s="18" t="inlineStr">
        <is>
          <t>CARLOS MACEDO</t>
        </is>
      </c>
      <c r="G227" s="10" t="n"/>
      <c r="H227" s="37" t="n"/>
      <c r="I227" s="14" t="n"/>
      <c r="J227" s="9" t="n">
        <v>45909</v>
      </c>
      <c r="K227" s="9" t="n">
        <v>45909</v>
      </c>
      <c r="L227" s="9" t="n"/>
      <c r="M227" s="4" t="n"/>
      <c r="N227" s="4" t="n"/>
      <c r="O227" s="4" t="n"/>
      <c r="P227" s="4" t="n"/>
      <c r="Q227" s="4" t="inlineStr">
        <is>
          <t>Com Relator</t>
        </is>
      </c>
      <c r="R227" s="13" t="n"/>
      <c r="S227" s="4" t="n"/>
      <c r="T227" s="4" t="n"/>
      <c r="U227" s="7" t="n"/>
      <c r="V227" s="3" t="inlineStr">
        <is>
          <t>http://alerjln1.alerj.rj.gov.br/scpro2327.nsf/18c1dd68f96be3e7832566ec0018d833/4f3b6df2f87e93970325899c00623836?OpenDocument</t>
        </is>
      </c>
      <c r="W227" s="3">
        <f>RIGHT(C227, 4)</f>
        <v/>
      </c>
      <c r="X227" s="3">
        <f>LEFT(C227, LEN(C227) - 5)</f>
        <v/>
      </c>
    </row>
    <row r="228" ht="75" customHeight="1" s="79">
      <c r="A228" s="2" t="inlineStr">
        <is>
          <t>Projeto Lei</t>
        </is>
      </c>
      <c r="B228" s="4">
        <f>RIGHT(C228,4)</f>
        <v/>
      </c>
      <c r="C228" s="73" t="inlineStr">
        <is>
          <t>1210/2023</t>
        </is>
      </c>
      <c r="D228" s="2" t="inlineStr">
        <is>
          <t>DISPÕE SOBRE O DIREITO DE PREFERÊNCIA NA MATRÍCULA E NA TRANSFERÊNCIA DE MATRÍCULA DOS FILHOS DE RESPONSÁVEL NATURAL, OU LEGAL, VÍTIMAS FATAIS OU QUE ADQUIRIRAM SEQUELAS PERMANENTES DE COVID19</t>
        </is>
      </c>
      <c r="E228" s="2" t="inlineStr">
        <is>
          <t>ELIKA TAKIMOTO</t>
        </is>
      </c>
      <c r="F228" s="18" t="inlineStr">
        <is>
          <t>RENATO MIRANDA</t>
        </is>
      </c>
      <c r="G228" s="10" t="inlineStr">
        <is>
          <t>FAVORÁVEL</t>
        </is>
      </c>
      <c r="H228" s="37" t="inlineStr">
        <is>
          <t>26/02/2026</t>
        </is>
      </c>
      <c r="I228" s="14" t="inlineStr">
        <is>
          <t>8ªRE 
16/12/2025</t>
        </is>
      </c>
      <c r="J228" s="9" t="n">
        <v>45909</v>
      </c>
      <c r="K228" s="9" t="n">
        <v>45909</v>
      </c>
      <c r="L228" s="9" t="n">
        <v>45978</v>
      </c>
      <c r="M228" s="4" t="n"/>
      <c r="N228" s="4" t="n"/>
      <c r="O228" s="4" t="n"/>
      <c r="P228" s="4" t="n"/>
      <c r="Q228" s="4" t="inlineStr">
        <is>
          <t>Sim</t>
        </is>
      </c>
      <c r="R228" s="13" t="n"/>
      <c r="S228" s="4" t="n"/>
      <c r="T228" s="4" t="n"/>
      <c r="U228" s="7" t="n"/>
      <c r="V228" s="3" t="inlineStr">
        <is>
          <t>http://alerjln1.alerj.rj.gov.br/scpro2327.nsf/18c1dd68f96be3e7832566ec0018d833/6fcd60919c6f85b6032589c00056d75b?OpenDocument</t>
        </is>
      </c>
      <c r="W228" s="3">
        <f>RIGHT(C228, 4)</f>
        <v/>
      </c>
      <c r="X228" s="3">
        <f>LEFT(C228, LEN(C228) - 5)</f>
        <v/>
      </c>
    </row>
    <row r="229" ht="45" customHeight="1" s="79">
      <c r="A229" s="2" t="inlineStr">
        <is>
          <t>Projeto Lei</t>
        </is>
      </c>
      <c r="B229" s="4">
        <f>RIGHT(C229,4)</f>
        <v/>
      </c>
      <c r="C229" s="73" t="inlineStr">
        <is>
          <t>2407/2023</t>
        </is>
      </c>
      <c r="D229" s="2" t="inlineStr">
        <is>
          <t>ALTERA A LEI ESTADUAL 6060, DE 07 DE OUTUBRO DE 2011 QUE PASSSA A VIGORAR COM A SEGUINTE REDAÇÃO:</t>
        </is>
      </c>
      <c r="E229" s="2" t="inlineStr">
        <is>
          <t>ANDREZINHO CECILIANO</t>
        </is>
      </c>
      <c r="F229" s="18" t="inlineStr">
        <is>
          <t>RENATO MIRANDA</t>
        </is>
      </c>
      <c r="G229" s="10" t="inlineStr">
        <is>
          <t>FAVORÁVEL</t>
        </is>
      </c>
      <c r="H229" s="37" t="inlineStr">
        <is>
          <t>26/02/2026</t>
        </is>
      </c>
      <c r="I229" s="14" t="inlineStr">
        <is>
          <t>8ªRE 
16/12/2025</t>
        </is>
      </c>
      <c r="J229" s="9" t="n">
        <v>45909</v>
      </c>
      <c r="K229" s="9" t="n">
        <v>45909</v>
      </c>
      <c r="L229" s="9" t="n">
        <v>45978</v>
      </c>
      <c r="M229" s="4" t="n"/>
      <c r="N229" s="4" t="n"/>
      <c r="O229" s="4" t="n"/>
      <c r="P229" s="4" t="n"/>
      <c r="Q229" s="4" t="inlineStr">
        <is>
          <t>Sim</t>
        </is>
      </c>
      <c r="R229" s="13" t="n"/>
      <c r="S229" s="4" t="n"/>
      <c r="T229" s="4" t="n"/>
      <c r="U229" s="7" t="n"/>
      <c r="V229" s="3" t="inlineStr">
        <is>
          <t>http://alerjln1.alerj.rj.gov.br/scpro2327.nsf/18c1dd68f96be3e7832566ec0018d833/63f3742a4028e23e03258a3d006f77ad?OpenDocument</t>
        </is>
      </c>
      <c r="W229" s="3">
        <f>RIGHT(C229, 4)</f>
        <v/>
      </c>
      <c r="X229" s="3">
        <f>LEFT(C229, LEN(C229) - 5)</f>
        <v/>
      </c>
    </row>
    <row r="230" ht="45" customHeight="1" s="79">
      <c r="A230" s="2" t="inlineStr">
        <is>
          <t>Projeto Lei</t>
        </is>
      </c>
      <c r="B230" s="4">
        <f>RIGHT(C230,4)</f>
        <v/>
      </c>
      <c r="C230" s="73" t="inlineStr">
        <is>
          <t>486/2023</t>
        </is>
      </c>
      <c r="D230" s="2" t="inlineStr">
        <is>
          <t>CRIA O PROGRAMA EDUCAÇÃO PARA A CIDADANIA NAS ESCOLAS DA REDE PÚBLICA DE ENSINO MÉDIO DO ESTADO DO RIO DE JANEIRO</t>
        </is>
      </c>
      <c r="E230" s="2" t="inlineStr">
        <is>
          <t>CARLOS MINC</t>
        </is>
      </c>
      <c r="F230" s="18" t="inlineStr">
        <is>
          <t>RENATO MIRANDA</t>
        </is>
      </c>
      <c r="G230" s="10" t="inlineStr">
        <is>
          <t>FAVORÁVEL</t>
        </is>
      </c>
      <c r="H230" s="37" t="inlineStr">
        <is>
          <t>07/01/2026</t>
        </is>
      </c>
      <c r="I230" s="14" t="inlineStr">
        <is>
          <t>8ªRE 
16/12/2025</t>
        </is>
      </c>
      <c r="J230" s="9" t="n">
        <v>45909</v>
      </c>
      <c r="K230" s="9" t="n">
        <v>45909</v>
      </c>
      <c r="L230" s="9" t="n">
        <v>45978</v>
      </c>
      <c r="M230" s="4" t="n"/>
      <c r="N230" s="4" t="n"/>
      <c r="O230" s="4" t="n"/>
      <c r="P230" s="4" t="n"/>
      <c r="Q230" s="4" t="inlineStr">
        <is>
          <t>Sim</t>
        </is>
      </c>
      <c r="R230" s="13" t="n"/>
      <c r="S230" s="4" t="n"/>
      <c r="T230" s="4" t="n"/>
      <c r="U230" s="7" t="n"/>
      <c r="V230" s="3" t="inlineStr">
        <is>
          <t>http://alerjln1.alerj.rj.gov.br/scpro2327.nsf/18c1dd68f96be3e7832566ec0018d833/acdb9779169a39d703258978006e07fa?OpenDocument</t>
        </is>
      </c>
      <c r="W230" s="3">
        <f>RIGHT(C230, 4)</f>
        <v/>
      </c>
      <c r="X230" s="3">
        <f>LEFT(C230, LEN(C230) - 5)</f>
        <v/>
      </c>
    </row>
    <row r="231" ht="75" customHeight="1" s="79">
      <c r="A231" s="2" t="inlineStr">
        <is>
          <t>Projeto Lei</t>
        </is>
      </c>
      <c r="B231" s="4">
        <f>RIGHT(C231,4)</f>
        <v/>
      </c>
      <c r="C231" s="73" t="inlineStr">
        <is>
          <t>1040/2023</t>
        </is>
      </c>
      <c r="D231" s="2" t="inlineStr">
        <is>
          <t>DISPÕE ACERCA DA EMISSÃO DE DOCUMENTOS EM BRAILE E DÁ OUTRAS PROVIDÊNCIAS.</t>
        </is>
      </c>
      <c r="E231" s="2" t="inlineStr">
        <is>
          <t>FILIPPE POUBEL, India Armelau</t>
        </is>
      </c>
      <c r="F231" s="18" t="inlineStr">
        <is>
          <t>RENATO MIRANDA</t>
        </is>
      </c>
      <c r="G231" s="10" t="inlineStr">
        <is>
          <t>FAVORÁVEL COM O SUBSTITUTIVO DA COMISSÃO DE CONSTITUIÇÃO E JUSTIÇA</t>
        </is>
      </c>
      <c r="H231" s="37" t="inlineStr">
        <is>
          <t>26/02/2026</t>
        </is>
      </c>
      <c r="I231" s="14" t="inlineStr">
        <is>
          <t>8ªRE 
16/12/2025</t>
        </is>
      </c>
      <c r="J231" s="9" t="n">
        <v>45909</v>
      </c>
      <c r="K231" s="9" t="n">
        <v>45909</v>
      </c>
      <c r="L231" s="9" t="n">
        <v>45978</v>
      </c>
      <c r="M231" s="4" t="n"/>
      <c r="N231" s="4" t="n"/>
      <c r="O231" s="4" t="n"/>
      <c r="P231" s="4" t="n"/>
      <c r="Q231" s="4" t="inlineStr">
        <is>
          <t>Sim</t>
        </is>
      </c>
      <c r="R231" s="13" t="n"/>
      <c r="S231" s="4" t="n"/>
      <c r="T231" s="4" t="n"/>
      <c r="U231" s="7" t="n"/>
      <c r="V231" s="3" t="inlineStr">
        <is>
          <t>http://alerjln1.alerj.rj.gov.br/scpro2327.nsf/18c1dd68f96be3e7832566ec0018d833/1507baaf39c0e8cb032589ac00446494?OpenDocument</t>
        </is>
      </c>
      <c r="W231" s="3">
        <f>RIGHT(C231, 4)</f>
        <v/>
      </c>
      <c r="X231" s="3">
        <f>LEFT(C231, LEN(C231) - 5)</f>
        <v/>
      </c>
    </row>
    <row r="232" ht="45" customHeight="1" s="79">
      <c r="A232" s="2" t="inlineStr">
        <is>
          <t>Projeto Lei</t>
        </is>
      </c>
      <c r="B232" s="4">
        <f>RIGHT(C232,4)</f>
        <v/>
      </c>
      <c r="C232" s="73" t="inlineStr">
        <is>
          <t>3248/2024</t>
        </is>
      </c>
      <c r="D232" s="2" t="inlineStr">
        <is>
          <t>ASSEGURA ÀS MÃES SOLO A RESERVA DE VAGAS NAS ESCOLAS TÉCNICAS PÚBLICAS DA REDE ESTADUAL DE ENSINO DO ESTADO DO RIO DE JANEIRO.</t>
        </is>
      </c>
      <c r="E232" s="2" t="inlineStr">
        <is>
          <t>VINICIUS COZZOLINO</t>
        </is>
      </c>
      <c r="F232" s="18" t="inlineStr">
        <is>
          <t>RENATO MIRANDA</t>
        </is>
      </c>
      <c r="G232" s="10" t="inlineStr">
        <is>
          <t>FAVORÁVEL</t>
        </is>
      </c>
      <c r="H232" s="37" t="inlineStr">
        <is>
          <t>26/02/2026</t>
        </is>
      </c>
      <c r="I232" s="14" t="inlineStr">
        <is>
          <t>8ªRE 
16/12/2025</t>
        </is>
      </c>
      <c r="J232" s="9" t="n">
        <v>45918</v>
      </c>
      <c r="K232" s="9" t="n">
        <v>45923</v>
      </c>
      <c r="L232" s="9" t="n">
        <v>45931</v>
      </c>
      <c r="M232" s="4" t="n"/>
      <c r="N232" s="4" t="n"/>
      <c r="O232" s="4" t="n"/>
      <c r="P232" s="4" t="n"/>
      <c r="Q232" s="4" t="inlineStr">
        <is>
          <t>Sim</t>
        </is>
      </c>
      <c r="R232" s="13" t="n"/>
      <c r="S232" s="4" t="n"/>
      <c r="T232" s="4" t="n"/>
      <c r="U232" s="7" t="n"/>
      <c r="V232" s="3" t="inlineStr">
        <is>
          <t>http://alerjln1.alerj.rj.gov.br/scpro2327.nsf/18c1dd68f96be3e7832566ec0018d833/73cd4bc2db0ba40903258ae600587cc8?OpenDocument</t>
        </is>
      </c>
      <c r="W232" s="3">
        <f>RIGHT(C232, 4)</f>
        <v/>
      </c>
      <c r="X232" s="3">
        <f>LEFT(C232, LEN(C232) - 5)</f>
        <v/>
      </c>
    </row>
    <row r="233" ht="75" customHeight="1" s="79">
      <c r="A233" s="2" t="inlineStr">
        <is>
          <t>Projeto Lei</t>
        </is>
      </c>
      <c r="B233" s="4">
        <f>RIGHT(C233,4)</f>
        <v/>
      </c>
      <c r="C233" s="73" t="inlineStr">
        <is>
          <t>13/2023</t>
        </is>
      </c>
      <c r="D233" s="2" t="inlineStr">
        <is>
          <t>INSTITUI O PROGRAMA ESPECIAL DE FINANCIAMENTO DO CURSO DE MEDICINA EM UNIVERSIDADES PRIVADAS OFERECIDO PELO PODER EXECUTIVO ESTADUAL, NA FORMA EM QUE MENCIONA, NO ÂMBITO DO ESTADO DO RIO DE JANEIRO.</t>
        </is>
      </c>
      <c r="E233" s="2" t="inlineStr">
        <is>
          <t>ROSENVERG REIS</t>
        </is>
      </c>
      <c r="F233" s="18" t="inlineStr">
        <is>
          <t>RENATO MIRANDA</t>
        </is>
      </c>
      <c r="G233" s="10" t="inlineStr">
        <is>
          <t>FAVORÁVEL COM AS EMENDAS DA COMISSÃO DE CONSTITUIÇÃO E JUSTIÇA</t>
        </is>
      </c>
      <c r="H233" s="37" t="inlineStr">
        <is>
          <t>07/01/2026</t>
        </is>
      </c>
      <c r="I233" s="14" t="inlineStr">
        <is>
          <t>8ªRE 
16/12/2025</t>
        </is>
      </c>
      <c r="J233" s="9" t="n">
        <v>45923</v>
      </c>
      <c r="K233" s="9" t="n">
        <v>45930</v>
      </c>
      <c r="L233" s="9" t="n">
        <v>45978</v>
      </c>
      <c r="M233" s="4" t="n"/>
      <c r="N233" s="4" t="n"/>
      <c r="O233" s="4" t="n"/>
      <c r="P233" s="4" t="n"/>
      <c r="Q233" s="4" t="inlineStr">
        <is>
          <t>Sim</t>
        </is>
      </c>
      <c r="R233" s="13" t="n"/>
      <c r="S233" s="4" t="n"/>
      <c r="T233" s="4" t="n"/>
      <c r="U233" s="7" t="n"/>
      <c r="V233" s="3" t="inlineStr">
        <is>
          <t>http://alerjln1.alerj.rj.gov.br/scpro2327.nsf/18c1dd68f96be3e7832566ec0018d833/457a5178c1ccdf450325894a006dbfa1?OpenDocument</t>
        </is>
      </c>
      <c r="W233" s="3">
        <f>RIGHT(C233, 4)</f>
        <v/>
      </c>
      <c r="X233" s="3">
        <f>LEFT(C233, LEN(C233) - 5)</f>
        <v/>
      </c>
    </row>
    <row r="234" ht="90" customHeight="1" s="79">
      <c r="A234" s="2" t="inlineStr">
        <is>
          <t>Projeto Lei</t>
        </is>
      </c>
      <c r="B234" s="4">
        <f>RIGHT(C234,4)</f>
        <v/>
      </c>
      <c r="C234" s="73" t="inlineStr">
        <is>
          <t>3700/2024</t>
        </is>
      </c>
      <c r="D234" s="2" t="inlineStr">
        <is>
          <t>ASSEGURA ÀS MULHERES COM MAMA DENSA O DIREITO DE FAZER O EXAME DE RESSONÂNCIA NUCLEAR MAGNÉTICA ASSOCIADA À MAMOGRAFIA NAS UNIDADES PÚBLICAS DE SAÚDE OU CONVENIADAS INTEGRANTES DO SISTEMA ÚNICO DE SAÚDE (SUS) E DÁ OUTRAS PROVIDÊNCIAS.</t>
        </is>
      </c>
      <c r="E234" s="2" t="inlineStr">
        <is>
          <t>CARLA MACHADO</t>
        </is>
      </c>
      <c r="F234" s="18" t="inlineStr">
        <is>
          <t>RENATO MIRANDA</t>
        </is>
      </c>
      <c r="G234" s="10" t="inlineStr">
        <is>
          <t>FAVORÁVEL</t>
        </is>
      </c>
      <c r="H234" s="37" t="inlineStr">
        <is>
          <t>26/02/2026</t>
        </is>
      </c>
      <c r="I234" s="14" t="inlineStr">
        <is>
          <t>8ªRE 
16/12/2025</t>
        </is>
      </c>
      <c r="J234" s="9" t="n">
        <v>45923</v>
      </c>
      <c r="K234" s="9" t="n">
        <v>45930</v>
      </c>
      <c r="L234" s="9" t="n">
        <v>45978</v>
      </c>
      <c r="M234" s="4" t="n"/>
      <c r="N234" s="4" t="n"/>
      <c r="O234" s="4" t="n"/>
      <c r="P234" s="4" t="n"/>
      <c r="Q234" s="4" t="inlineStr">
        <is>
          <t>Sim</t>
        </is>
      </c>
      <c r="R234" s="13" t="n"/>
      <c r="S234" s="4" t="n"/>
      <c r="T234" s="4" t="n"/>
      <c r="U234" s="7" t="n"/>
      <c r="V234" s="3" t="inlineStr">
        <is>
          <t>http://alerjln1.alerj.rj.gov.br/scpro2327.nsf/18c1dd68f96be3e7832566ec0018d833/5ef540992a5e014203258b32006862ac?OpenDocument</t>
        </is>
      </c>
      <c r="W234" s="3">
        <f>RIGHT(C234, 4)</f>
        <v/>
      </c>
      <c r="X234" s="3">
        <f>LEFT(C234, LEN(C234) - 5)</f>
        <v/>
      </c>
    </row>
    <row r="235" ht="75" customHeight="1" s="79">
      <c r="A235" s="2" t="inlineStr">
        <is>
          <t>Projeto Lei</t>
        </is>
      </c>
      <c r="B235" s="4">
        <f>RIGHT(C235,4)</f>
        <v/>
      </c>
      <c r="C235" s="73" t="inlineStr">
        <is>
          <t>1574/2023</t>
        </is>
      </c>
      <c r="D235" s="2" t="inlineStr">
        <is>
          <t>DISPÕE SOBRE A APRENDIZAGEM DO USO ÉTICO DA INTELIGÊNCIA ARTIFICIAL NAS ESCOLAS.</t>
        </is>
      </c>
      <c r="E235" s="2" t="inlineStr">
        <is>
          <t>ANDREZINHO CECILIANO</t>
        </is>
      </c>
      <c r="F235" s="18" t="inlineStr">
        <is>
          <t>ZEIDAN</t>
        </is>
      </c>
      <c r="G235" s="10" t="inlineStr">
        <is>
          <t>FAVORÁVEL COM AS EMENDAS DA COMISSÃO DE CONSTITUIÇÃO E JUSTIÇA</t>
        </is>
      </c>
      <c r="H235" s="37" t="inlineStr">
        <is>
          <t>26/02/2026</t>
        </is>
      </c>
      <c r="I235" s="14" t="inlineStr">
        <is>
          <t>8ªRE 
16/12/2025</t>
        </is>
      </c>
      <c r="J235" s="9" t="n">
        <v>45925</v>
      </c>
      <c r="K235" s="9" t="n">
        <v>45925</v>
      </c>
      <c r="L235" s="9" t="n">
        <v>45938</v>
      </c>
      <c r="M235" s="9" t="n"/>
      <c r="N235" s="9" t="n"/>
      <c r="O235" s="9" t="n"/>
      <c r="P235" s="9" t="n"/>
      <c r="Q235" s="4" t="inlineStr">
        <is>
          <t>Sim</t>
        </is>
      </c>
      <c r="R235" s="2" t="n"/>
      <c r="S235" s="4" t="n"/>
      <c r="T235" s="4" t="n"/>
      <c r="U235" s="7" t="n"/>
      <c r="V235" s="3" t="inlineStr">
        <is>
          <t>http://alerjln1.alerj.rj.gov.br/scpro2327.nsf/18c1dd68f96be3e7832566ec0018d833/dff570f231a95380032589f100450bac?OpenDocument</t>
        </is>
      </c>
      <c r="W235" s="3">
        <f>RIGHT(C235, 4)</f>
        <v/>
      </c>
      <c r="X235" s="3">
        <f>LEFT(C235, LEN(C235) - 5)</f>
        <v/>
      </c>
    </row>
    <row r="236" ht="60" customHeight="1" s="79">
      <c r="A236" s="2" t="inlineStr">
        <is>
          <t>Projeto Lei</t>
        </is>
      </c>
      <c r="B236" s="4">
        <f>RIGHT(C236,4)</f>
        <v/>
      </c>
      <c r="C236" s="73" t="inlineStr">
        <is>
          <t>1901/2023</t>
        </is>
      </c>
      <c r="D236" s="2" t="inlineStr">
        <is>
          <t>ALTERA A LEI Nº 9395, DE 09 DE SETEMBRO DE 2021, QUE ESTABELECE A POLÍTICA ESTADUAL DE PROTEÇÃO DOS DIREITOS DA PESSOA COM TRANSTORNO DO ESPECTRO AUTISTA.</t>
        </is>
      </c>
      <c r="E236" s="2" t="inlineStr">
        <is>
          <t>OTONI DE PAULA PAI</t>
        </is>
      </c>
      <c r="F236" s="18" t="inlineStr">
        <is>
          <t>ZEIDAN</t>
        </is>
      </c>
      <c r="G236" s="10" t="n"/>
      <c r="H236" s="37" t="n"/>
      <c r="I236" s="14" t="n"/>
      <c r="J236" s="9" t="n">
        <v>45925</v>
      </c>
      <c r="K236" s="9" t="n">
        <v>45925</v>
      </c>
      <c r="L236" s="9" t="n"/>
      <c r="M236" s="4" t="n"/>
      <c r="N236" s="4" t="n"/>
      <c r="O236" s="4" t="n"/>
      <c r="P236" s="4" t="n"/>
      <c r="Q236" s="4" t="inlineStr">
        <is>
          <t>Com Relator</t>
        </is>
      </c>
      <c r="R236" s="13" t="n"/>
      <c r="S236" s="4" t="n"/>
      <c r="T236" s="4" t="n"/>
      <c r="U236" s="7" t="n"/>
      <c r="V236" s="3" t="inlineStr">
        <is>
          <t>http://alerjln1.alerj.rj.gov.br/scpro2327.nsf/18c1dd68f96be3e7832566ec0018d833/b912edef0d18134903258a1a005983a0?OpenDocument</t>
        </is>
      </c>
      <c r="W236" s="3">
        <f>RIGHT(C236, 4)</f>
        <v/>
      </c>
      <c r="X236" s="3">
        <f>LEFT(C236, LEN(C236) - 5)</f>
        <v/>
      </c>
    </row>
    <row r="237" ht="90" customHeight="1" s="79">
      <c r="A237" s="2" t="inlineStr">
        <is>
          <t>Projeto Lei</t>
        </is>
      </c>
      <c r="B237" s="4">
        <f>RIGHT(C237,4)</f>
        <v/>
      </c>
      <c r="C237" s="73" t="inlineStr">
        <is>
          <t>2056/2023</t>
        </is>
      </c>
      <c r="D237" s="2" t="inlineStr">
        <is>
          <t>ALTERA A LEI Nº 4.617, DE 11 DE OUTUBRO DE 2005, E A LEI Nº 5.645, DE 06 DE JANEIRO DE 2010, PARA INSTITUIR NO CALENDÁRIO OFICIAL DO ESTADO DO RIO DE JANEIRO O DIA DE COMBATE AO FUMO, BEM COMO A CAMPANHA DE SAÚDE PÚBLICA "A MELHOR ESCOLHA É NÃO FUMAR", NA FORMA QUE MENCIONA.</t>
        </is>
      </c>
      <c r="E237" s="2" t="inlineStr">
        <is>
          <t>MÁRCIO CANELLA</t>
        </is>
      </c>
      <c r="F237" s="18" t="inlineStr">
        <is>
          <t>ZEIDAN</t>
        </is>
      </c>
      <c r="G237" s="10" t="n"/>
      <c r="H237" s="37" t="n"/>
      <c r="I237" s="14" t="n"/>
      <c r="J237" s="9" t="n">
        <v>45925</v>
      </c>
      <c r="K237" s="9" t="n">
        <v>45925</v>
      </c>
      <c r="L237" s="9" t="n"/>
      <c r="M237" s="4" t="n"/>
      <c r="N237" s="4" t="n"/>
      <c r="O237" s="4" t="n"/>
      <c r="P237" s="4" t="n"/>
      <c r="Q237" s="4" t="inlineStr">
        <is>
          <t>Com Relator</t>
        </is>
      </c>
      <c r="R237" s="13" t="n"/>
      <c r="S237" s="4" t="n"/>
      <c r="T237" s="4" t="n"/>
      <c r="U237" s="7" t="n"/>
      <c r="V237" s="3" t="inlineStr">
        <is>
          <t>http://alerjln1.alerj.rj.gov.br/scpro2327.nsf/18c1dd68f96be3e7832566ec0018d833/452da8c6b1f31e1f03258a1b00512834?OpenDocument</t>
        </is>
      </c>
      <c r="W237" s="3">
        <f>RIGHT(C237, 4)</f>
        <v/>
      </c>
      <c r="X237" s="3">
        <f>LEFT(C237, LEN(C237) - 5)</f>
        <v/>
      </c>
    </row>
    <row r="238" ht="75" customHeight="1" s="79">
      <c r="A238" s="2" t="inlineStr">
        <is>
          <t>Projeto Lei</t>
        </is>
      </c>
      <c r="B238" s="4" t="n">
        <v>37</v>
      </c>
      <c r="C238" s="73" t="inlineStr">
        <is>
          <t>2984/2024</t>
        </is>
      </c>
      <c r="D238" s="2" t="inlineStr">
        <is>
          <t>“GARANTE ÀS PESSOAS COM TRANSTORNO DO ESPECTRO AUTISTA-TEA, INDEPENDENTE  DA AQUISIÇÃO DA MAIORIDADE, A GARANTIA DE TODOS OS DIREITOS ESTABELECIDOS NA LEI 13.146 DE 06 DE JULHO DE 2015 E DÁ OUTRAS PROVIDÊNCIAS."</t>
        </is>
      </c>
      <c r="E238" s="2" t="inlineStr">
        <is>
          <t>FRED PACHECO</t>
        </is>
      </c>
      <c r="F238" s="18" t="inlineStr">
        <is>
          <t>ZEIDAN</t>
        </is>
      </c>
      <c r="G238" s="10" t="inlineStr">
        <is>
          <t>FAVORÁVEL</t>
        </is>
      </c>
      <c r="H238" s="37" t="n"/>
      <c r="I238" s="14" t="inlineStr">
        <is>
          <t>PRÓXIMA</t>
        </is>
      </c>
      <c r="J238" s="9" t="n">
        <v>45925</v>
      </c>
      <c r="K238" s="9" t="n">
        <v>45925</v>
      </c>
      <c r="L238" s="9" t="n">
        <v>46111</v>
      </c>
      <c r="M238" s="4" t="n"/>
      <c r="N238" s="4" t="n"/>
      <c r="O238" s="4" t="n"/>
      <c r="P238" s="4" t="n"/>
      <c r="Q238" s="4" t="inlineStr">
        <is>
          <t>Sim</t>
        </is>
      </c>
      <c r="R238" s="13" t="n"/>
      <c r="S238" s="4" t="n"/>
      <c r="T238" s="4" t="n"/>
      <c r="U238" s="7" t="n"/>
      <c r="V238" s="3" t="inlineStr">
        <is>
          <t>http://alerjln1.alerj.rj.gov.br/scpro2327.nsf/18c1dd68f96be3e7832566ec0018d833/510b28156847a97003258aca0059d4fd?OpenDocument</t>
        </is>
      </c>
      <c r="W238" s="3">
        <f>RIGHT(C238, 4)</f>
        <v/>
      </c>
      <c r="X238" s="3">
        <f>LEFT(C238, LEN(C238) - 5)</f>
        <v/>
      </c>
    </row>
    <row r="239" ht="45" customHeight="1" s="79">
      <c r="A239" s="2" t="inlineStr">
        <is>
          <t>Projeto Lei</t>
        </is>
      </c>
      <c r="B239" s="4" t="n"/>
      <c r="C239" s="73" t="inlineStr">
        <is>
          <t>4195/2024</t>
        </is>
      </c>
      <c r="D239" s="2" t="inlineStr">
        <is>
          <t>INSTITUI A POLÍTICA ESTADUAL DE DIAGNÓSTICO E ACESSIBILIDADE PARA PESSOAS COM DALTONISMO NA EDUCAÇÃO.</t>
        </is>
      </c>
      <c r="E239" s="2" t="inlineStr">
        <is>
          <t>ELIKA TAKIMOTO</t>
        </is>
      </c>
      <c r="F239" s="18" t="inlineStr">
        <is>
          <t>ZEIDAN</t>
        </is>
      </c>
      <c r="G239" s="10" t="inlineStr">
        <is>
          <t>FAVORÁVEL</t>
        </is>
      </c>
      <c r="H239" s="37" t="inlineStr">
        <is>
          <t>26/02/2026</t>
        </is>
      </c>
      <c r="I239" s="14" t="inlineStr">
        <is>
          <t>8ªRE 
16/12/2025</t>
        </is>
      </c>
      <c r="J239" s="9" t="n">
        <v>45925</v>
      </c>
      <c r="K239" s="9" t="n">
        <v>45925</v>
      </c>
      <c r="L239" s="9" t="n">
        <v>45938</v>
      </c>
      <c r="M239" s="4" t="n"/>
      <c r="N239" s="4" t="n"/>
      <c r="O239" s="4" t="n"/>
      <c r="P239" s="4" t="n"/>
      <c r="Q239" s="4" t="inlineStr">
        <is>
          <t>Sim</t>
        </is>
      </c>
      <c r="R239" s="13" t="n"/>
      <c r="S239" s="4" t="n"/>
      <c r="T239" s="4" t="n"/>
      <c r="U239" s="7" t="n"/>
      <c r="V239" s="3" t="inlineStr">
        <is>
          <t>http://alerjln1.alerj.rj.gov.br/scpro2327.nsf/18c1dd68f96be3e7832566ec0018d833/b997dd38a81b1e0403258ba300693e72?OpenDocument</t>
        </is>
      </c>
      <c r="W239" s="3">
        <f>RIGHT(C239, 4)</f>
        <v/>
      </c>
      <c r="X239" s="3">
        <f>LEFT(C239, LEN(C239) - 5)</f>
        <v/>
      </c>
    </row>
    <row r="240" ht="105" customHeight="1" s="79">
      <c r="A240" s="2" t="inlineStr">
        <is>
          <t>Projeto Lei</t>
        </is>
      </c>
      <c r="B240" s="4" t="n"/>
      <c r="C240" s="73" t="inlineStr">
        <is>
          <t>EP 1354/2012</t>
        </is>
      </c>
      <c r="D240" s="2" t="inlineStr">
        <is>
          <t>CRIA O CERTIFICADO “PARCEIRO AMBIENTAL”, NO ÂMBITO DO ESTADO DO RIO DE JANEIRO.</t>
        </is>
      </c>
      <c r="E240" s="2" t="inlineStr">
        <is>
          <t>BERNARDO ROSSI</t>
        </is>
      </c>
      <c r="F240" s="18" t="inlineStr">
        <is>
          <t>RENATO MIRANDA</t>
        </is>
      </c>
      <c r="G240" s="10" t="inlineStr">
        <is>
          <t>FAVORÁVEL ÀS EMENDAS DE PLENÁRIO COM O SUBSTITUTIVO DA COMISSÃO DE CONSTITUIÇÃO E JUSTIÇA</t>
        </is>
      </c>
      <c r="H240" s="37" t="inlineStr">
        <is>
          <t>07/01/2026</t>
        </is>
      </c>
      <c r="I240" s="14" t="inlineStr">
        <is>
          <t>8ªRE 
16/12/2025</t>
        </is>
      </c>
      <c r="J240" s="9" t="n">
        <v>45929</v>
      </c>
      <c r="K240" s="9" t="n">
        <v>45930</v>
      </c>
      <c r="L240" s="9" t="n">
        <v>45978</v>
      </c>
      <c r="M240" s="4" t="n"/>
      <c r="N240" s="4" t="n"/>
      <c r="O240" s="4" t="n"/>
      <c r="P240" s="4" t="n"/>
      <c r="Q240" s="4" t="inlineStr">
        <is>
          <t>Sim</t>
        </is>
      </c>
      <c r="R240" s="13" t="n"/>
      <c r="S240" s="4" t="n"/>
      <c r="T240" s="4" t="n"/>
      <c r="U240" s="7" t="n"/>
      <c r="V240" s="3" t="inlineStr">
        <is>
          <t>http://alerjln1.alerj.rj.gov.br/scpro1115.nsf/18c1dd68f96be3e7832566ec0018d833/6ca7d7f63854b41e832579c1006a4f0a?OpenDocument</t>
        </is>
      </c>
      <c r="W240" s="3">
        <f>RIGHT(C240, 4)</f>
        <v/>
      </c>
      <c r="X240" s="3">
        <f>LEFT(C240, LEN(C240) - 5)</f>
        <v/>
      </c>
    </row>
    <row r="241" ht="75" customHeight="1" s="79">
      <c r="A241" s="2" t="inlineStr">
        <is>
          <t>Projeto Lei</t>
        </is>
      </c>
      <c r="B241" s="4">
        <f>RIGHT(C241,4)</f>
        <v/>
      </c>
      <c r="C241" s="73" t="inlineStr">
        <is>
          <t>EP 1512/2016</t>
        </is>
      </c>
      <c r="D241" s="2" t="inlineStr">
        <is>
          <t>DISPÕE SOBRE O USO PREFERENCIAL DE FERTILIZANTES ORGÂNICOS POR PARTE DA ADMINISTRAÇÃO ESTADUAL.</t>
        </is>
      </c>
      <c r="E241" s="2" t="inlineStr">
        <is>
          <t>DR JULIANELLI</t>
        </is>
      </c>
      <c r="F241" s="18" t="inlineStr">
        <is>
          <t>VINICIUS COZZOLINO</t>
        </is>
      </c>
      <c r="G241" s="10" t="inlineStr">
        <is>
          <t>FAVORÁVEL, COM O SUBSTITUTIVO DA COMISSÃO DE CONSTITUIÇÃO E JUSTIÇA</t>
        </is>
      </c>
      <c r="H241" s="37" t="inlineStr">
        <is>
          <t>07/01/2026</t>
        </is>
      </c>
      <c r="I241" s="14" t="inlineStr">
        <is>
          <t>8ªRE 
16/12/2025</t>
        </is>
      </c>
      <c r="J241" s="9" t="n">
        <v>45929</v>
      </c>
      <c r="K241" s="9" t="n">
        <v>45930</v>
      </c>
      <c r="L241" s="9" t="n">
        <v>45986</v>
      </c>
      <c r="M241" s="4" t="n"/>
      <c r="N241" s="4" t="n"/>
      <c r="O241" s="4" t="n"/>
      <c r="P241" s="4" t="n"/>
      <c r="Q241" s="4" t="inlineStr">
        <is>
          <t>Sim</t>
        </is>
      </c>
      <c r="R241" s="13" t="n"/>
      <c r="S241" s="4" t="n"/>
      <c r="T241" s="4" t="n"/>
      <c r="U241" s="7" t="n"/>
      <c r="V241" s="3" t="inlineStr">
        <is>
          <t>http://alerjln1.alerj.rj.gov.br/scpro1519.nsf/18c1dd68f96be3e7832566ec0018d833/14b8ccee4243218383257f70004ecc68?OpenDocument</t>
        </is>
      </c>
      <c r="W241" s="3">
        <f>RIGHT(C241, 4)</f>
        <v/>
      </c>
      <c r="X241" s="3">
        <f>LEFT(C241, LEN(C241) - 5)</f>
        <v/>
      </c>
    </row>
    <row r="242" ht="120" customHeight="1" s="79">
      <c r="A242" s="2" t="inlineStr">
        <is>
          <t>Projeto Lei</t>
        </is>
      </c>
      <c r="B242" s="4">
        <f>RIGHT(C242,4)</f>
        <v/>
      </c>
      <c r="C242" s="73" t="inlineStr">
        <is>
          <t>EP 3343/2017</t>
        </is>
      </c>
      <c r="D242" s="2" t="inlineStr">
        <is>
          <t>DISPÕE SOBRE A CRIAÇÃO DA DELEGACIA ESTADUAL DE REPRESSÃO A CRIMES RURAIS, E DÁ OUTRAS PROVIDÊNCIAS.</t>
        </is>
      </c>
      <c r="E242" s="2" t="inlineStr">
        <is>
          <t>CHICO MACHADO,FILIPE SOARES</t>
        </is>
      </c>
      <c r="F242" s="18" t="inlineStr">
        <is>
          <t>VINICIUS COZZOLINO</t>
        </is>
      </c>
      <c r="G242" s="10" t="inlineStr">
        <is>
          <t>FAVORÁVEL ÀS EMENDAS DE PLENÁRIO, CONCLUINDO POR SUBSTITUTIVO DA COMISSÃO DE CONSTITUIÇÃO E JUSTIÇA</t>
        </is>
      </c>
      <c r="H242" s="37" t="inlineStr">
        <is>
          <t>07/01/2026</t>
        </is>
      </c>
      <c r="I242" s="14" t="inlineStr">
        <is>
          <t>8ªRE 
16/12/2025</t>
        </is>
      </c>
      <c r="J242" s="9" t="n">
        <v>45929</v>
      </c>
      <c r="K242" s="9" t="n">
        <v>45930</v>
      </c>
      <c r="L242" s="9" t="n">
        <v>45986</v>
      </c>
      <c r="M242" s="9" t="n"/>
      <c r="N242" s="9" t="n"/>
      <c r="O242" s="9" t="n"/>
      <c r="P242" s="9" t="n"/>
      <c r="Q242" s="4" t="inlineStr">
        <is>
          <t>Sim</t>
        </is>
      </c>
      <c r="R242" s="13" t="n"/>
      <c r="S242" s="4" t="n"/>
      <c r="T242" s="4" t="n"/>
      <c r="U242" s="7" t="n"/>
      <c r="V242" s="3" t="inlineStr">
        <is>
          <t>http://alerjln1.alerj.rj.gov.br/scpro1519.nsf/18c1dd68f96be3e7832566ec0018d833/dbf5f494f22e37398325819200444ba4?OpenDocument</t>
        </is>
      </c>
      <c r="W242" s="3">
        <f>RIGHT(C242, 4)</f>
        <v/>
      </c>
      <c r="X242" s="3">
        <f>LEFT(C242, LEN(C242) - 5)</f>
        <v/>
      </c>
    </row>
    <row r="243" ht="75" customHeight="1" s="79">
      <c r="A243" s="2" t="inlineStr">
        <is>
          <t>Projeto Lei</t>
        </is>
      </c>
      <c r="B243" s="4">
        <f>RIGHT(C243,4)</f>
        <v/>
      </c>
      <c r="C243" s="73" t="inlineStr">
        <is>
          <t>631/2023</t>
        </is>
      </c>
      <c r="D243" s="2" t="inlineStr">
        <is>
          <t>CRIA O PROGRAMA TRILHAS ACESSÍVEIS QUE GARANTE A DISPONIBILIZAÇÃO DE CADEIRA JULIETTI EM TODOS OS PARQUES E OU UNIDADES DE CONSERVAÇÃO DO ESTADOS DO RIO DE JANEIRO QUE TENHAM TRILHA OU MONTANHAS.</t>
        </is>
      </c>
      <c r="E243" s="2" t="inlineStr">
        <is>
          <t>OTONI DE PAULA PAI</t>
        </is>
      </c>
      <c r="F243" s="18" t="inlineStr">
        <is>
          <t>VINICIUS COZZOLINO</t>
        </is>
      </c>
      <c r="G243" s="10" t="inlineStr">
        <is>
          <t>FAVORÁVEL COM AS EMENDAS DA COMISSÃO DE CONSTITUIÇÃO E JUSTIÇA</t>
        </is>
      </c>
      <c r="H243" s="37" t="inlineStr">
        <is>
          <t>26/02/2026</t>
        </is>
      </c>
      <c r="I243" s="14" t="inlineStr">
        <is>
          <t>8ªRE 
16/12/2025</t>
        </is>
      </c>
      <c r="J243" s="9" t="n">
        <v>45929</v>
      </c>
      <c r="K243" s="9" t="n">
        <v>45930</v>
      </c>
      <c r="L243" s="9" t="n">
        <v>45986</v>
      </c>
      <c r="M243" s="9" t="n"/>
      <c r="N243" s="9" t="n"/>
      <c r="O243" s="9" t="n"/>
      <c r="P243" s="9" t="n"/>
      <c r="Q243" s="4" t="inlineStr">
        <is>
          <t>Sim</t>
        </is>
      </c>
      <c r="R243" s="2" t="n"/>
      <c r="S243" s="4" t="n"/>
      <c r="T243" s="4" t="n"/>
      <c r="U243" s="7" t="n"/>
      <c r="V243" s="3" t="inlineStr">
        <is>
          <t>http://alerjln1.alerj.rj.gov.br/scpro2327.nsf/18c1dd68f96be3e7832566ec0018d833/f393069904dfa4bc03258987004e7a07?OpenDocument</t>
        </is>
      </c>
      <c r="W243" s="3">
        <f>RIGHT(C243, 4)</f>
        <v/>
      </c>
      <c r="X243" s="3">
        <f>LEFT(C243, LEN(C243) - 5)</f>
        <v/>
      </c>
    </row>
    <row r="244" ht="75" customHeight="1" s="79">
      <c r="A244" s="2" t="inlineStr">
        <is>
          <t>Projeto Lei</t>
        </is>
      </c>
      <c r="B244" s="4">
        <f>RIGHT(C244,4)</f>
        <v/>
      </c>
      <c r="C244" s="73" t="inlineStr">
        <is>
          <t>4270/2024</t>
        </is>
      </c>
      <c r="D244" s="2" t="inlineStr">
        <is>
          <t>DISPÕE SOBRE A PROMOÇÃO DA SAÚDE MENTAL NA AGRICULTURA FAMILIAR NO ESTADO DO RIO DE JANEIRO E DÁ OUTRAS PROVIDÊNCIAS.</t>
        </is>
      </c>
      <c r="E244" s="2" t="inlineStr">
        <is>
          <t>VAL CEASA</t>
        </is>
      </c>
      <c r="F244" s="18" t="inlineStr">
        <is>
          <t>VINICIUS COZZOLINO</t>
        </is>
      </c>
      <c r="G244" s="10" t="inlineStr">
        <is>
          <t>FAVORÁVEL, COM AS EMENDAS DA COMISSÃO DE CONSTITUIÇÃO E JUSTIÇA</t>
        </is>
      </c>
      <c r="H244" s="37" t="inlineStr">
        <is>
          <t>26/02/2026</t>
        </is>
      </c>
      <c r="I244" s="14" t="inlineStr">
        <is>
          <t>8ªRE 
16/12/2025</t>
        </is>
      </c>
      <c r="J244" s="9" t="n">
        <v>45929</v>
      </c>
      <c r="K244" s="9" t="n">
        <v>45930</v>
      </c>
      <c r="L244" s="9" t="n">
        <v>45986</v>
      </c>
      <c r="M244" s="4" t="n"/>
      <c r="N244" s="4" t="n"/>
      <c r="O244" s="4" t="n"/>
      <c r="P244" s="4" t="n"/>
      <c r="Q244" s="4" t="inlineStr">
        <is>
          <t>Sim</t>
        </is>
      </c>
      <c r="R244" s="13" t="n"/>
      <c r="S244" s="4" t="n"/>
      <c r="T244" s="4" t="n"/>
      <c r="U244" s="7" t="n"/>
      <c r="V244" s="3" t="inlineStr">
        <is>
          <t>http://alerjln1.alerj.rj.gov.br/scpro2327.nsf/18c1dd68f96be3e7832566ec0018d833/a99fee60dd30557a03258bb3005ba05d?OpenDocument</t>
        </is>
      </c>
      <c r="W244" s="3">
        <f>RIGHT(C244, 4)</f>
        <v/>
      </c>
      <c r="X244" s="3">
        <f>LEFT(C244, LEN(C244) - 5)</f>
        <v/>
      </c>
    </row>
    <row r="245" ht="120" customHeight="1" s="79">
      <c r="A245" s="2" t="inlineStr">
        <is>
          <t>Projeto Lei</t>
        </is>
      </c>
      <c r="B245" s="4">
        <f>RIGHT(C245,4)</f>
        <v/>
      </c>
      <c r="C245" s="73" t="inlineStr">
        <is>
          <t>1606/2023</t>
        </is>
      </c>
      <c r="D245" s="2" t="inlineStr">
        <is>
          <t>ALTERA A LEI Nº 5.645, DE 06 DE JANEIRO DE 2010, PARA INSTITUIR NO CALENDÁRIO OFICIAL DO ESTADO DO RIO DE JANEIRO O "DIA ESTADUAL DA DIGNIDADE MENSTRUAL" E A "SEMANA DA DIGNIDADE ÍNTIMA FEMININA E DA MENSTRUAÇÃO SEM TABU", INSTITUINDO AINDA A CAMPANHA EDUCACIONAL "SEGUE O FLUXO" NA REDE PÚBLICA E PRIVADA DE ENSINO, NA FORMA QUE MENCIONA.</t>
        </is>
      </c>
      <c r="E245" s="2" t="inlineStr">
        <is>
          <t>MÁRCIO CANELLA</t>
        </is>
      </c>
      <c r="F245" s="18" t="inlineStr">
        <is>
          <t>VINICIUS COZZOLINO</t>
        </is>
      </c>
      <c r="G245" s="10" t="inlineStr">
        <is>
          <t>FAVORÁVEL, COM O SUBSTITUTIVO DA COMISSÃO DE CONSTITUIÇÃO E JUSTIÇA</t>
        </is>
      </c>
      <c r="H245" s="37" t="inlineStr">
        <is>
          <t>26/02/2026</t>
        </is>
      </c>
      <c r="I245" s="14" t="inlineStr">
        <is>
          <t>8ªRE 
16/12/2025</t>
        </is>
      </c>
      <c r="J245" s="9" t="n">
        <v>45929</v>
      </c>
      <c r="K245" s="9" t="n">
        <v>45930</v>
      </c>
      <c r="L245" s="9" t="n">
        <v>45986</v>
      </c>
      <c r="M245" s="4" t="n"/>
      <c r="N245" s="4" t="n"/>
      <c r="O245" s="4" t="n"/>
      <c r="P245" s="4" t="n"/>
      <c r="Q245" s="4" t="inlineStr">
        <is>
          <t>Sim</t>
        </is>
      </c>
      <c r="R245" s="13" t="n"/>
      <c r="S245" s="4" t="n"/>
      <c r="T245" s="4" t="n"/>
      <c r="U245" s="7" t="n"/>
      <c r="V245" s="3" t="inlineStr">
        <is>
          <t>http://alerjln1.alerj.rj.gov.br/scpro2327.nsf/18c1dd68f96be3e7832566ec0018d833/4d6dd6d1d5f07de1032589f0005eea82?OpenDocument</t>
        </is>
      </c>
      <c r="W245" s="3">
        <f>RIGHT(C245, 4)</f>
        <v/>
      </c>
      <c r="X245" s="3">
        <f>LEFT(C245, LEN(C245) - 5)</f>
        <v/>
      </c>
    </row>
    <row r="246" ht="75" customHeight="1" s="79">
      <c r="A246" s="2" t="inlineStr">
        <is>
          <t>Projeto Lei</t>
        </is>
      </c>
      <c r="B246" s="4">
        <f>RIGHT(C246,4)</f>
        <v/>
      </c>
      <c r="C246" s="73" t="inlineStr">
        <is>
          <t>1470/2023</t>
        </is>
      </c>
      <c r="D246" s="2" t="inlineStr">
        <is>
          <t>DISPÕE SOBRE O “PROGRAMA DE PUBLICIDADE E PROPAGANDA DOS POLOS DE MODA E GASTRONÔMICOS DO MUNICÍPIO DE PETRÓPOLIS”</t>
        </is>
      </c>
      <c r="E246" s="2" t="inlineStr">
        <is>
          <t>YURI</t>
        </is>
      </c>
      <c r="F246" s="18" t="inlineStr">
        <is>
          <t>ZEIDAN</t>
        </is>
      </c>
      <c r="G246" s="10" t="inlineStr">
        <is>
          <t>FAVORÁVEL COM AS EMENDAS DA COMISSÃO DE CONSTITUIÇÃO E JUSTIÇA</t>
        </is>
      </c>
      <c r="H246" s="37" t="inlineStr">
        <is>
          <t>23/12/2025</t>
        </is>
      </c>
      <c r="I246" s="14" t="inlineStr">
        <is>
          <t>8ªRE 
16/12/2025</t>
        </is>
      </c>
      <c r="J246" s="9" t="n">
        <v>45929</v>
      </c>
      <c r="K246" s="9" t="n">
        <v>45930</v>
      </c>
      <c r="L246" s="9" t="n">
        <v>45995</v>
      </c>
      <c r="M246" s="4" t="n"/>
      <c r="N246" s="4" t="n"/>
      <c r="O246" s="4" t="n"/>
      <c r="P246" s="4" t="n"/>
      <c r="Q246" s="4" t="inlineStr">
        <is>
          <t>Sim</t>
        </is>
      </c>
      <c r="R246" s="13" t="n"/>
      <c r="S246" s="4" t="n"/>
      <c r="T246" s="4" t="n"/>
      <c r="U246" s="7" t="n"/>
      <c r="V246" s="40" t="inlineStr">
        <is>
          <t>http://alerjln1.alerj.rj.gov.br/scpro2327.nsf/18c1dd68f96be3e7832566ec0018d833/4b668452067274d9032589dc0069edf1?OpenDocument</t>
        </is>
      </c>
      <c r="W246" s="3">
        <f>RIGHT(C246, 4)</f>
        <v/>
      </c>
      <c r="X246" s="3">
        <f>LEFT(C246, LEN(C246) - 5)</f>
        <v/>
      </c>
    </row>
    <row r="247" ht="105" customHeight="1" s="79">
      <c r="A247" s="2" t="inlineStr">
        <is>
          <t>Projeto Lei</t>
        </is>
      </c>
      <c r="B247" s="4">
        <f>RIGHT(C247,4)</f>
        <v/>
      </c>
      <c r="C247" s="73" t="inlineStr">
        <is>
          <t>4319/2024</t>
        </is>
      </c>
      <c r="D247" s="2" t="inlineStr">
        <is>
          <t>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t>
        </is>
      </c>
      <c r="E247" s="2" t="inlineStr">
        <is>
          <t>VERONICA LIMA</t>
        </is>
      </c>
      <c r="F247" s="18" t="inlineStr">
        <is>
          <t>RENATO MIRANDA</t>
        </is>
      </c>
      <c r="G247" s="10" t="inlineStr">
        <is>
          <t>FAVORÁVEL COM AS EMENDAS DA COMISSÃO DE CONSTITUIÇÃO E JUSTIÇA</t>
        </is>
      </c>
      <c r="H247" s="37" t="inlineStr">
        <is>
          <t>23/12/2025</t>
        </is>
      </c>
      <c r="I247" s="14" t="inlineStr">
        <is>
          <t>8ªRE 
16/12/2025</t>
        </is>
      </c>
      <c r="J247" s="9" t="n">
        <v>45929</v>
      </c>
      <c r="K247" s="9" t="n">
        <v>45930</v>
      </c>
      <c r="L247" s="9" t="n">
        <v>45943</v>
      </c>
      <c r="M247" s="4" t="n"/>
      <c r="N247" s="4" t="n"/>
      <c r="O247" s="4" t="n"/>
      <c r="P247" s="4" t="n"/>
      <c r="Q247" s="4" t="inlineStr">
        <is>
          <t>Sim</t>
        </is>
      </c>
      <c r="R247" s="13" t="n"/>
      <c r="S247" s="4" t="n"/>
      <c r="T247" s="4" t="n"/>
      <c r="U247" s="7" t="n"/>
      <c r="V247" s="3" t="inlineStr">
        <is>
          <t>http://alerjln1.alerj.rj.gov.br/scpro2327.nsf/18c1dd68f96be3e7832566ec0018d833/c1dfadc7cab36b7603258bbe004f2ca0?OpenDocument</t>
        </is>
      </c>
      <c r="W247" s="3">
        <f>RIGHT(C247, 4)</f>
        <v/>
      </c>
      <c r="X247" s="3">
        <f>LEFT(C247, LEN(C247) - 5)</f>
        <v/>
      </c>
    </row>
    <row r="248" ht="60" customHeight="1" s="79">
      <c r="A248" s="2" t="inlineStr">
        <is>
          <t>Projeto Lei</t>
        </is>
      </c>
      <c r="B248" s="4">
        <f>RIGHT(C248,4)</f>
        <v/>
      </c>
      <c r="C248" s="73" t="inlineStr">
        <is>
          <t>6086/2022</t>
        </is>
      </c>
      <c r="D248" s="2" t="inlineStr">
        <is>
          <t>INSTITUI O PROGRAMA “AMAMENTAÇÃO HUMANIZADA” NAS MATERNIDADES, CASAS DE PARTO E HOSPITAIS PÚBLICOS DO ESTADO DO RIO DE JANEIRO E DÁ OUTRAS PROVIDÊNCIAS.</t>
        </is>
      </c>
      <c r="E248" s="2" t="inlineStr">
        <is>
          <t>SAMUEL MALAFAIA</t>
        </is>
      </c>
      <c r="F248" s="18" t="inlineStr">
        <is>
          <t>RENATO MIRANDA</t>
        </is>
      </c>
      <c r="G248" s="10" t="inlineStr">
        <is>
          <t>FAVORÁVEL</t>
        </is>
      </c>
      <c r="H248" s="37" t="n"/>
      <c r="I248" s="14" t="inlineStr">
        <is>
          <t>PLENÁRIO</t>
        </is>
      </c>
      <c r="J248" s="9" t="n">
        <v>45930</v>
      </c>
      <c r="K248" s="9" t="n">
        <v>45930</v>
      </c>
      <c r="L248" s="9" t="n">
        <v>45978</v>
      </c>
      <c r="M248" s="9" t="n">
        <v>45985</v>
      </c>
      <c r="N248" s="4" t="n"/>
      <c r="O248" s="4" t="n"/>
      <c r="P248" s="4" t="n"/>
      <c r="Q248" s="4" t="inlineStr">
        <is>
          <t>Não</t>
        </is>
      </c>
      <c r="R248" s="13" t="inlineStr">
        <is>
          <t>Saiu, em 24/11/2025, para ir a plenário</t>
        </is>
      </c>
      <c r="S248" s="4" t="n"/>
      <c r="T248" s="4" t="n"/>
      <c r="U248" s="7" t="n"/>
      <c r="V248" s="3" t="inlineStr">
        <is>
          <t>http://alerjln1.alerj.rj.gov.br/scpro1923.nsf/18c1dd68f96be3e7832566ec0018d833/d5b5f0db8712fdee032588670067ba64?OpenDocument</t>
        </is>
      </c>
      <c r="W248" s="3">
        <f>RIGHT(C248, 4)</f>
        <v/>
      </c>
      <c r="X248" s="3">
        <f>LEFT(C248, LEN(C248) - 5)</f>
        <v/>
      </c>
    </row>
    <row r="249" ht="75" customHeight="1" s="79">
      <c r="A249" s="2" t="inlineStr">
        <is>
          <t>Projeto Lei</t>
        </is>
      </c>
      <c r="B249" s="4">
        <f>RIGHT(C249,4)</f>
        <v/>
      </c>
      <c r="C249" s="73" t="inlineStr">
        <is>
          <t>1637/2023</t>
        </is>
      </c>
      <c r="D249" s="2" t="inlineStr">
        <is>
          <t>PROGRAMA DE INCENTIVO A COMUNICAÇÃO NÃO VIOLENTA (CNV) NO ÂMBITO DO ESTADO DO RIO DE JANEIRO</t>
        </is>
      </c>
      <c r="E249" s="2" t="inlineStr">
        <is>
          <t>DANNIEL LIBRELON</t>
        </is>
      </c>
      <c r="F249" s="18" t="inlineStr">
        <is>
          <t>VINICIUS COZZOLINO</t>
        </is>
      </c>
      <c r="G249" s="10" t="inlineStr">
        <is>
          <t>FAVORÁVEL COM AS EMENDAS DA COMISSÃO DE CONSTITUIÇÃO E JUSTIÇA</t>
        </is>
      </c>
      <c r="H249" s="37" t="inlineStr">
        <is>
          <t>26/02/2026</t>
        </is>
      </c>
      <c r="I249" s="14" t="inlineStr">
        <is>
          <t>8ªRE 
16/12/2025</t>
        </is>
      </c>
      <c r="J249" s="9" t="n">
        <v>45930</v>
      </c>
      <c r="K249" s="9" t="n">
        <v>45930</v>
      </c>
      <c r="L249" s="9" t="n">
        <v>45986</v>
      </c>
      <c r="M249" s="4" t="n"/>
      <c r="N249" s="4" t="n"/>
      <c r="O249" s="4" t="n"/>
      <c r="P249" s="4" t="n"/>
      <c r="Q249" s="4" t="inlineStr">
        <is>
          <t>Sim</t>
        </is>
      </c>
      <c r="R249" s="13" t="n"/>
      <c r="S249" s="4" t="n"/>
      <c r="T249" s="4" t="n"/>
      <c r="U249" s="7" t="n"/>
      <c r="V249" s="3" t="inlineStr">
        <is>
          <t>http://alerjln1.alerj.rj.gov.br/scpro2327.nsf/18c1dd68f96be3e7832566ec0018d833/0a64b9bb9012d1dd03258a00005dd944?OpenDocument</t>
        </is>
      </c>
      <c r="W249" s="3">
        <f>RIGHT(C249, 4)</f>
        <v/>
      </c>
      <c r="X249" s="3">
        <f>LEFT(C249, LEN(C249) - 5)</f>
        <v/>
      </c>
    </row>
    <row r="250" ht="105" customHeight="1" s="79">
      <c r="A250" s="2" t="inlineStr">
        <is>
          <t>Projeto Lei</t>
        </is>
      </c>
      <c r="B250" s="4">
        <f>RIGHT(C250,4)</f>
        <v/>
      </c>
      <c r="C250" s="73" t="inlineStr">
        <is>
          <t>EP 403/2023</t>
        </is>
      </c>
      <c r="D250" s="2" t="inlineStr">
        <is>
          <t>OS ÓRGÃOS E ENTIDADES DA ADMINISTRAÇÃO PÚBLICA DIRETA, INDIRETA, AUTÁRQUICA E FUNDACIONAL DO ESTADO DO RIO DE JANEIRO DEVERÃO REALIZAR PALESTRA PARA OS SEUS SERVIDORES E TERCEIRIZADOS, ANUALMENTE, SOBRE CONSCIENTIZAÇÃO E PREVENÇÃO CONTRA O ETARISMO.</t>
        </is>
      </c>
      <c r="E250" s="2" t="inlineStr">
        <is>
          <t>LUIZ CLAUDIO RIBEIRO</t>
        </is>
      </c>
      <c r="F250" s="18" t="inlineStr">
        <is>
          <t>VINICIUS COZZOLINO</t>
        </is>
      </c>
      <c r="G250" s="10" t="inlineStr">
        <is>
          <t>FAVORÁVEL, NA FORMA DO SUBSTITUTIVO DA COMISSÃO DE CONSTITUIÇÃO E JUSTIÇA</t>
        </is>
      </c>
      <c r="H250" s="37" t="inlineStr">
        <is>
          <t>23/12/2025</t>
        </is>
      </c>
      <c r="I250" s="14" t="inlineStr">
        <is>
          <t>8ªRE 
16/12/2025</t>
        </is>
      </c>
      <c r="J250" s="9" t="n">
        <v>45930</v>
      </c>
      <c r="K250" s="9" t="n">
        <v>45930</v>
      </c>
      <c r="L250" s="9" t="n">
        <v>45986</v>
      </c>
      <c r="M250" s="4" t="n"/>
      <c r="N250" s="4" t="n"/>
      <c r="O250" s="4" t="n"/>
      <c r="P250" s="4" t="n"/>
      <c r="Q250" s="4" t="inlineStr">
        <is>
          <t>Sim</t>
        </is>
      </c>
      <c r="R250" s="13" t="n"/>
      <c r="S250" s="4" t="n"/>
      <c r="T250" s="4" t="n"/>
      <c r="U250" s="7" t="n"/>
      <c r="V250" s="3" t="inlineStr">
        <is>
          <t>http://alerjln1.alerj.rj.gov.br/scpro2327.nsf/18c1dd68f96be3e7832566ec0018d833/3064f6afba52255203258972004db810?OpenDocument</t>
        </is>
      </c>
      <c r="W250" s="3">
        <f>RIGHT(C250, 4)</f>
        <v/>
      </c>
      <c r="X250" s="3">
        <f>LEFT(C250, LEN(C250) - 5)</f>
        <v/>
      </c>
    </row>
    <row r="251" ht="45" customHeight="1" s="79">
      <c r="A251" s="2" t="inlineStr">
        <is>
          <t>Projeto Lei</t>
        </is>
      </c>
      <c r="B251" s="4">
        <f>RIGHT(C251,4)</f>
        <v/>
      </c>
      <c r="C251" s="73" t="inlineStr">
        <is>
          <t>6443/2025</t>
        </is>
      </c>
      <c r="D251" s="2" t="inlineStr">
        <is>
          <t>DISPÕE SOBRE A REVISÃO 2026 DO PLANO PLURIANUAL 2024-2027, INSTITUÍDO PELA LEI Nº 10.276, DE 09 DE JANEIRO DE 2024</t>
        </is>
      </c>
      <c r="E251" s="2" t="inlineStr">
        <is>
          <t>PODER EXECUTIVO</t>
        </is>
      </c>
      <c r="F251" s="18" t="inlineStr">
        <is>
          <t>ANDRÉ CORRÊA</t>
        </is>
      </c>
      <c r="G251" s="10" t="inlineStr">
        <is>
          <t>FAVORÁVEL</t>
        </is>
      </c>
      <c r="H251" s="37" t="inlineStr">
        <is>
          <t>23/10/2025</t>
        </is>
      </c>
      <c r="I251" s="14" t="inlineStr">
        <is>
          <t>PLENÁRIO</t>
        </is>
      </c>
      <c r="J251" s="9" t="n">
        <v>45932</v>
      </c>
      <c r="K251" s="4" t="n"/>
      <c r="L251" s="9" t="n"/>
      <c r="M251" s="9" t="n">
        <v>45953</v>
      </c>
      <c r="N251" s="9" t="n"/>
      <c r="O251" s="9" t="n"/>
      <c r="P251" s="9" t="n"/>
      <c r="Q251" s="4" t="inlineStr">
        <is>
          <t>Não</t>
        </is>
      </c>
      <c r="R251" s="13" t="inlineStr">
        <is>
          <t>PPA2026</t>
        </is>
      </c>
      <c r="S251" s="4" t="n"/>
      <c r="T251" s="4" t="n"/>
      <c r="U251" s="7" t="n"/>
      <c r="V251" s="3" t="inlineStr">
        <is>
          <t>http://alerjln1.alerj.rj.gov.br/scpro2327.nsf/18c1dd68f96be3e7832566ec0018d833/5841ef12448729de03258d1600802ccf?OpenDocument</t>
        </is>
      </c>
      <c r="W251" s="3">
        <f>RIGHT(C251, 4)</f>
        <v/>
      </c>
      <c r="X251" s="3">
        <f>LEFT(C251, LEN(C251) - 5)</f>
        <v/>
      </c>
    </row>
    <row r="252" ht="90" customHeight="1" s="79">
      <c r="A252" s="2" t="inlineStr">
        <is>
          <t>Projeto Lei</t>
        </is>
      </c>
      <c r="B252" s="4">
        <f>RIGHT(C252,4)</f>
        <v/>
      </c>
      <c r="C252" s="73" t="inlineStr">
        <is>
          <t>6444/2025</t>
        </is>
      </c>
      <c r="D252" s="2" t="inlineStr">
        <is>
          <t>ESTIMA A RECEITA E FIXA A DESPESA DO ESTADO DO RIO DE JANEIRO PARA O EXERCÍCIO FINANCEIRO DE 2026</t>
        </is>
      </c>
      <c r="E252" s="2" t="inlineStr">
        <is>
          <t>PODER EXECUTIVO</t>
        </is>
      </c>
      <c r="F252" s="18" t="inlineStr">
        <is>
          <t>ANDRÉ CORRÊA</t>
        </is>
      </c>
      <c r="G252" s="10" t="inlineStr">
        <is>
          <t>FAVORÁVEL, COM VOTO EM SEPARADO FAVORÁVEL COM RESTRIÇÕES, DO DEPUTADO LUIZ PAULO</t>
        </is>
      </c>
      <c r="H252" s="37" t="inlineStr">
        <is>
          <t>23/10/2025</t>
        </is>
      </c>
      <c r="I252" s="14" t="inlineStr">
        <is>
          <t>PLENÁRIO</t>
        </is>
      </c>
      <c r="J252" s="9" t="n">
        <v>45932</v>
      </c>
      <c r="K252" s="9" t="n"/>
      <c r="L252" s="9" t="n"/>
      <c r="M252" s="9" t="n">
        <v>45953</v>
      </c>
      <c r="N252" s="9" t="n"/>
      <c r="O252" s="9" t="n"/>
      <c r="P252" s="9" t="n"/>
      <c r="Q252" s="4" t="inlineStr">
        <is>
          <t>Não</t>
        </is>
      </c>
      <c r="R252" s="13" t="inlineStr">
        <is>
          <t>LOA2026</t>
        </is>
      </c>
      <c r="S252" s="4" t="n"/>
      <c r="T252" s="4" t="n"/>
      <c r="U252" s="7" t="n"/>
      <c r="V252" s="3" t="inlineStr">
        <is>
          <t>http://alerjln1.alerj.rj.gov.br/scpro2327.nsf/18c1dd68f96be3e7832566ec0018d833/4e12c15dfca6b52503258d160080a7e5?OpenDocument</t>
        </is>
      </c>
      <c r="W252" s="3">
        <f>RIGHT(C252, 4)</f>
        <v/>
      </c>
      <c r="X252" s="3">
        <f>LEFT(C252, LEN(C252) - 5)</f>
        <v/>
      </c>
    </row>
    <row r="253" ht="75" customHeight="1" s="79">
      <c r="A253" s="2" t="inlineStr">
        <is>
          <t>Projeto Lei</t>
        </is>
      </c>
      <c r="B253" s="4">
        <f>RIGHT(C253,4)</f>
        <v/>
      </c>
      <c r="C253" s="73" t="inlineStr">
        <is>
          <t>2951/2020</t>
        </is>
      </c>
      <c r="D253" s="2" t="inlineStr">
        <is>
          <t>DISPÕE SOBRE A OBRIGATORIEDADE DE PERMANÊNCIA DE FISIOTERAPEUTA NAS MATERNIDADES PÚBLICAS E PRIVADAS, NO ÂMBITO DO ESTADO DO RIO DE JANEIRO E DÁ OUTRAS PROVIDÊNCIAS</t>
        </is>
      </c>
      <c r="E253" s="2" t="inlineStr">
        <is>
          <t>MARTHA ROCHA</t>
        </is>
      </c>
      <c r="F253" s="18" t="inlineStr">
        <is>
          <t>RENATO MIRANDA</t>
        </is>
      </c>
      <c r="G253" s="10" t="inlineStr">
        <is>
          <t>FAVORÁVEL</t>
        </is>
      </c>
      <c r="H253" s="37" t="inlineStr">
        <is>
          <t>26/02/2026</t>
        </is>
      </c>
      <c r="I253" s="14" t="inlineStr">
        <is>
          <t>8ªRE 
16/12/2025</t>
        </is>
      </c>
      <c r="J253" s="9" t="n">
        <v>45936</v>
      </c>
      <c r="K253" s="9" t="n">
        <v>45953</v>
      </c>
      <c r="L253" s="9" t="n">
        <v>45978</v>
      </c>
      <c r="M253" s="9" t="n"/>
      <c r="N253" s="9" t="n"/>
      <c r="O253" s="9" t="n"/>
      <c r="P253" s="9" t="n"/>
      <c r="Q253" s="4" t="inlineStr">
        <is>
          <t>Sim</t>
        </is>
      </c>
      <c r="R253" s="2" t="n"/>
      <c r="S253" s="4" t="n"/>
      <c r="T253" s="4" t="n"/>
      <c r="U253" s="7" t="n"/>
      <c r="V253" s="3" t="inlineStr">
        <is>
          <t>http://alerjln1.alerj.rj.gov.br/scpro1923.nsf/18c1dd68f96be3e7832566ec0018d833/578df22094ab5ac4032585b9005f5d38?OpenDocument</t>
        </is>
      </c>
      <c r="W253" s="3">
        <f>RIGHT(C253, 4)</f>
        <v/>
      </c>
      <c r="X253" s="3">
        <f>LEFT(C253, LEN(C253) - 5)</f>
        <v/>
      </c>
    </row>
    <row r="254" ht="75" customHeight="1" s="79">
      <c r="A254" s="2" t="inlineStr">
        <is>
          <t>Projeto Lei</t>
        </is>
      </c>
      <c r="B254" s="4">
        <f>RIGHT(C254,4)</f>
        <v/>
      </c>
      <c r="C254" s="73" t="inlineStr">
        <is>
          <t>EP 731/2023</t>
        </is>
      </c>
      <c r="D254" s="2" t="inlineStr">
        <is>
          <t>DETERMINA A CAPACITAÇÃO DE PROFISSIONAIS DE SEGURANÇA PÚBLICA E DE AGENTES SOCIOEDUCATIVOS PARA O ATENDIMENTO ÀS PESSOAS COM TRANSTORNO DE ESPECTRO AUTISTA (TEA).</t>
        </is>
      </c>
      <c r="E254" s="2" t="inlineStr">
        <is>
          <t>LUIZ CLAUDIO RIBEIRO</t>
        </is>
      </c>
      <c r="F254" s="18" t="inlineStr">
        <is>
          <t>VINICIUS COZZOLINO</t>
        </is>
      </c>
      <c r="G254" s="10" t="inlineStr">
        <is>
          <t>FAVORÁVEL À EMENDA DE PLENÁRIO</t>
        </is>
      </c>
      <c r="H254" s="37" t="inlineStr">
        <is>
          <t>23/12/2025</t>
        </is>
      </c>
      <c r="I254" s="14" t="inlineStr">
        <is>
          <t>8ªRE 
16/12/2025</t>
        </is>
      </c>
      <c r="J254" s="9" t="n">
        <v>45936</v>
      </c>
      <c r="K254" s="9" t="n">
        <v>45953</v>
      </c>
      <c r="L254" s="9" t="n">
        <v>45986</v>
      </c>
      <c r="M254" s="4" t="n"/>
      <c r="N254" s="4" t="n"/>
      <c r="O254" s="4" t="n"/>
      <c r="P254" s="4" t="n"/>
      <c r="Q254" s="4" t="inlineStr">
        <is>
          <t>Sim</t>
        </is>
      </c>
      <c r="R254" s="13" t="n"/>
      <c r="S254" s="4" t="n"/>
      <c r="T254" s="4" t="n"/>
      <c r="U254" s="7" t="n"/>
      <c r="V254" s="3" t="inlineStr">
        <is>
          <t>http://alerjln1.alerj.rj.gov.br/scpro2327.nsf/18c1dd68f96be3e7832566ec0018d833/6216466ab7695c090325898f006adb7d?OpenDocument</t>
        </is>
      </c>
      <c r="W254" s="3">
        <f>RIGHT(C254, 4)</f>
        <v/>
      </c>
      <c r="X254" s="3">
        <f>LEFT(C254, LEN(C254) - 5)</f>
        <v/>
      </c>
    </row>
    <row r="255" ht="60" customHeight="1" s="79">
      <c r="A255" s="2" t="inlineStr">
        <is>
          <t>Projeto Lei</t>
        </is>
      </c>
      <c r="B255" s="4">
        <f>RIGHT(C255,4)</f>
        <v/>
      </c>
      <c r="C255" s="73" t="inlineStr">
        <is>
          <t>2556/2023</t>
        </is>
      </c>
      <c r="D255" s="2" t="inlineStr">
        <is>
          <t>DISPÕE SOBRE O CRIAÇÃO DE CENTROS DE TREINAMENTO DE FUTEBOL PARA PESSOAS COM DEFICIÊNCIA NO ÂMBITO DO ESTADO DO RIO DE JANEIRO</t>
        </is>
      </c>
      <c r="E255" s="2" t="inlineStr">
        <is>
          <t>ELIKA TAKIMOTO</t>
        </is>
      </c>
      <c r="F255" s="18" t="inlineStr">
        <is>
          <t>RENATO MIRANDA</t>
        </is>
      </c>
      <c r="G255" s="10" t="inlineStr">
        <is>
          <t>FAVORÁVEL</t>
        </is>
      </c>
      <c r="H255" s="37" t="inlineStr">
        <is>
          <t>26/02/2026</t>
        </is>
      </c>
      <c r="I255" s="14" t="inlineStr">
        <is>
          <t>8ªRE 
16/12/2025</t>
        </is>
      </c>
      <c r="J255" s="9" t="n">
        <v>45936</v>
      </c>
      <c r="K255" s="9" t="n">
        <v>45953</v>
      </c>
      <c r="L255" s="9" t="n">
        <v>45978</v>
      </c>
      <c r="M255" s="4" t="n"/>
      <c r="N255" s="4" t="n"/>
      <c r="O255" s="4" t="n"/>
      <c r="P255" s="4" t="n"/>
      <c r="Q255" s="4" t="inlineStr">
        <is>
          <t>Sim</t>
        </is>
      </c>
      <c r="R255" s="13" t="n"/>
      <c r="S255" s="4" t="n"/>
      <c r="T255" s="4" t="n"/>
      <c r="U255" s="7" t="n"/>
      <c r="V255" s="3" t="inlineStr">
        <is>
          <t>http://alerjln1.alerj.rj.gov.br/scpro2327.nsf/18c1dd68f96be3e7832566ec0018d833/c00d83eee601ffef03258a670062b91f?OpenDocument</t>
        </is>
      </c>
      <c r="W255" s="3">
        <f>RIGHT(C255, 4)</f>
        <v/>
      </c>
      <c r="X255" s="3">
        <f>LEFT(C255, LEN(C255) - 5)</f>
        <v/>
      </c>
    </row>
    <row r="256" ht="60" customHeight="1" s="79">
      <c r="A256" s="2" t="inlineStr">
        <is>
          <t>Projeto Lei</t>
        </is>
      </c>
      <c r="B256" s="4">
        <f>RIGHT(C256,4)</f>
        <v/>
      </c>
      <c r="C256" s="73" t="inlineStr">
        <is>
          <t>3132/2024</t>
        </is>
      </c>
      <c r="D256" s="2" t="inlineStr">
        <is>
          <t>CRIA A CAMPANHA EDUCATIVA DE COMBATE AO CRIME DE IMPORTUNAÇÃO SEXUAL NAS ESCOLAS DA REDE PÚBLICA ESTADUAL DE ENSINO DO ESTADO DO RIO DE JANEIRO.</t>
        </is>
      </c>
      <c r="E256" s="2" t="inlineStr">
        <is>
          <t>MARTHA ROCHA</t>
        </is>
      </c>
      <c r="F256" s="18" t="inlineStr">
        <is>
          <t>RENATO MIRANDA</t>
        </is>
      </c>
      <c r="G256" s="10" t="inlineStr">
        <is>
          <t>FAVORÁVEL</t>
        </is>
      </c>
      <c r="H256" s="37" t="inlineStr">
        <is>
          <t>26/02/2026</t>
        </is>
      </c>
      <c r="I256" s="14" t="inlineStr">
        <is>
          <t>8ªRE 
16/12/2025</t>
        </is>
      </c>
      <c r="J256" s="9" t="n">
        <v>45936</v>
      </c>
      <c r="K256" s="9" t="n">
        <v>45953</v>
      </c>
      <c r="L256" s="9" t="n">
        <v>45978</v>
      </c>
      <c r="M256" s="4" t="n"/>
      <c r="N256" s="4" t="n"/>
      <c r="O256" s="4" t="n"/>
      <c r="P256" s="4" t="n"/>
      <c r="Q256" s="4" t="inlineStr">
        <is>
          <t>Sim</t>
        </is>
      </c>
      <c r="R256" s="13" t="n"/>
      <c r="S256" s="4" t="n"/>
      <c r="T256" s="4" t="n"/>
      <c r="U256" s="7" t="n"/>
      <c r="V256" s="3" t="inlineStr">
        <is>
          <t>http://alerjln1.alerj.rj.gov.br/scpro2327.nsf/18c1dd68f96be3e7832566ec0018d833/9b192a6e05d49c2503258ad9004d0ab0?OpenDocument</t>
        </is>
      </c>
      <c r="W256" s="3">
        <f>RIGHT(C256, 4)</f>
        <v/>
      </c>
      <c r="X256" s="3">
        <f>LEFT(C256, LEN(C256) - 5)</f>
        <v/>
      </c>
    </row>
    <row r="257" ht="60" customHeight="1" s="79">
      <c r="A257" s="2" t="inlineStr">
        <is>
          <t>Projeto Lei</t>
        </is>
      </c>
      <c r="B257" s="4">
        <f>RIGHT(C257,4)</f>
        <v/>
      </c>
      <c r="C257" s="73" t="inlineStr">
        <is>
          <t>841/2023</t>
        </is>
      </c>
      <c r="D257" s="2" t="inlineStr">
        <is>
          <t>AUTORIZA O PODER EXECUTIVO A INSTITUIR O AUXÍLIO-MORADIA AO POLICIAL MILITAR, POLICIAL CIVIL, POLICIAL PENAL E AGENTE SOCIOEDUCATIVO, NOS CASOS EM QUE ESPECIFICA.</t>
        </is>
      </c>
      <c r="E257" s="2" t="inlineStr">
        <is>
          <t>MARCELO DINO</t>
        </is>
      </c>
      <c r="F257" s="18" t="inlineStr">
        <is>
          <t>ZEIDAN</t>
        </is>
      </c>
      <c r="G257" s="10" t="inlineStr">
        <is>
          <t>FAVORÁVEL</t>
        </is>
      </c>
      <c r="H257" s="37" t="n"/>
      <c r="I257" s="14" t="inlineStr">
        <is>
          <t>N/A</t>
        </is>
      </c>
      <c r="J257" s="9" t="n"/>
      <c r="K257" s="4" t="n"/>
      <c r="L257" s="9" t="n">
        <v>45938</v>
      </c>
      <c r="M257" s="4" t="n"/>
      <c r="N257" s="4" t="n"/>
      <c r="O257" s="4" t="n"/>
      <c r="P257" s="4" t="n"/>
      <c r="Q257" s="4" t="inlineStr">
        <is>
          <t>Não</t>
        </is>
      </c>
      <c r="R257" s="13" t="inlineStr">
        <is>
          <t>Este PL é indicado para TIL pela CCJ. Chegou em 08/10/2025 da relatora e eu reencaminhei a SGMD</t>
        </is>
      </c>
      <c r="S257" s="4" t="n"/>
      <c r="T257" s="4" t="n"/>
      <c r="U257" s="7" t="n"/>
      <c r="V257" s="3" t="inlineStr">
        <is>
          <t>http://alerjln1.alerj.rj.gov.br/scpro2327.nsf/18c1dd68f96be3e7832566ec0018d833/d49535f1f64392b903258995006c29c1?OpenDocument</t>
        </is>
      </c>
      <c r="W257" s="3">
        <f>RIGHT(C257, 4)</f>
        <v/>
      </c>
      <c r="X257" s="3">
        <f>LEFT(C257, LEN(C257) - 5)</f>
        <v/>
      </c>
    </row>
    <row r="258" ht="60" customHeight="1" s="79">
      <c r="A258" s="2" t="inlineStr">
        <is>
          <t>Projeto Lei Compl.</t>
        </is>
      </c>
      <c r="B258" s="4">
        <f>RIGHT(C258,4)</f>
        <v/>
      </c>
      <c r="C258" s="73" t="inlineStr">
        <is>
          <t>40/2025</t>
        </is>
      </c>
      <c r="D258" s="2" t="inlineStr">
        <is>
          <t>ESTABELECE NORMAS APLICÁVEIS À ALIENAÇÃO ONEROSA DE IMÓVEIS, AUTORIZA O ESTADO DO RIO DE JANEIRO A ALIENAR AQUELES A QUE SE FAZ REFERÊNCIA, E DÁ OUTRAS PROVIDÊNCIAS</t>
        </is>
      </c>
      <c r="E258" s="2" t="inlineStr">
        <is>
          <t>PODER EXECUTIVO</t>
        </is>
      </c>
      <c r="F258" s="18" t="inlineStr">
        <is>
          <t>ANDRÉ CORRÊA</t>
        </is>
      </c>
      <c r="G258" s="10" t="n"/>
      <c r="H258" s="37" t="n"/>
      <c r="I258" s="14" t="n"/>
      <c r="J258" s="9" t="n">
        <v>45938</v>
      </c>
      <c r="K258" s="9" t="n">
        <v>45938</v>
      </c>
      <c r="L258" s="9" t="n"/>
      <c r="M258" s="9" t="n">
        <v>45973</v>
      </c>
      <c r="N258" s="4" t="n"/>
      <c r="O258" s="4" t="n"/>
      <c r="P258" s="4" t="n"/>
      <c r="Q258" s="4" t="inlineStr">
        <is>
          <t>Não</t>
        </is>
      </c>
      <c r="R258" s="13" t="inlineStr">
        <is>
          <t>Foi direto a plenário em 12/11/2025</t>
        </is>
      </c>
      <c r="S258" s="4" t="n"/>
      <c r="T258" s="4" t="n"/>
      <c r="U258" s="7" t="n"/>
      <c r="V258" s="3" t="inlineStr">
        <is>
          <t>http://alerjln1.alerj.rj.gov.br/scpro2327.nsf/34c4e2da9b17c0d3832566ec0018d830/7ca3878f068ca1f203258cea004d0b64?OpenDocument</t>
        </is>
      </c>
      <c r="W258" s="3">
        <f>RIGHT(C258, 4)</f>
        <v/>
      </c>
      <c r="X258" s="3">
        <f>LEFT(C258, LEN(C258) - 5)</f>
        <v/>
      </c>
    </row>
    <row r="259" ht="75" customHeight="1" s="79">
      <c r="A259" s="2" t="inlineStr">
        <is>
          <t>Projeto Lei</t>
        </is>
      </c>
      <c r="B259" s="4">
        <f>RIGHT(C259,4)</f>
        <v/>
      </c>
      <c r="C259" s="73" t="inlineStr">
        <is>
          <t>3662/2017</t>
        </is>
      </c>
      <c r="D259" s="2" t="inlineStr">
        <is>
          <t>DISPÕE SOBRE A CRIAÇÃO DO GUIA DE INFORMAÇÃO DOS SERVIÇOS RELATIVOS A SAÚDE DA MULHER E DO HOMEM NA REDE PÚBLICA E PRIVADA DE SAÚDE DO ESTADO DO RIO DE JANEIRO E DÁ OUTRAS PROVIDÊNCIAS.</t>
        </is>
      </c>
      <c r="E259" s="2" t="inlineStr">
        <is>
          <t>MARCIA JEOVANI</t>
        </is>
      </c>
      <c r="F259" s="18" t="inlineStr">
        <is>
          <t>RENATO MIRANDA</t>
        </is>
      </c>
      <c r="G259" s="10" t="inlineStr">
        <is>
          <t>FAVORÁVEL</t>
        </is>
      </c>
      <c r="H259" s="37" t="inlineStr">
        <is>
          <t>07/01/2026</t>
        </is>
      </c>
      <c r="I259" s="14" t="inlineStr">
        <is>
          <t>8ªRE 
16/12/2025</t>
        </is>
      </c>
      <c r="J259" s="9" t="n">
        <v>45938</v>
      </c>
      <c r="K259" s="9" t="n">
        <v>45953</v>
      </c>
      <c r="L259" s="9" t="n">
        <v>45978</v>
      </c>
      <c r="M259" s="4" t="n"/>
      <c r="N259" s="4" t="n"/>
      <c r="O259" s="4" t="n"/>
      <c r="P259" s="4" t="n"/>
      <c r="Q259" s="4" t="inlineStr">
        <is>
          <t>Sim</t>
        </is>
      </c>
      <c r="R259" s="13" t="n"/>
      <c r="S259" s="4" t="n"/>
      <c r="T259" s="4" t="n"/>
      <c r="U259" s="7" t="n"/>
      <c r="V259" s="3" t="inlineStr">
        <is>
          <t>http://alerjln1.alerj.rj.gov.br/scpro1519.nsf/18c1dd68f96be3e7832566ec0018d833/01b597a00f854cd2832581e9005cdcf2?OpenDocument</t>
        </is>
      </c>
      <c r="W259" s="3">
        <f>RIGHT(C259, 4)</f>
        <v/>
      </c>
      <c r="X259" s="3">
        <f>LEFT(C259, LEN(C259) - 5)</f>
        <v/>
      </c>
    </row>
    <row r="260" ht="90" customHeight="1" s="79">
      <c r="A260" s="2" t="inlineStr">
        <is>
          <t>Projeto Lei</t>
        </is>
      </c>
      <c r="B260" s="4">
        <f>RIGHT(C260,4)</f>
        <v/>
      </c>
      <c r="C260" s="73" t="inlineStr">
        <is>
          <t>EP 1750/2019</t>
        </is>
      </c>
      <c r="D260" s="2" t="inlineStr">
        <is>
          <t>AUTORIZA O PODER EXECUTIVO A CRIAR O “PROGRAMA CARTÃO POPULAR”, NO ÂMBITO DO ESTADO DO RIO DE JANEIRO.</t>
        </is>
      </c>
      <c r="E260" s="2" t="inlineStr">
        <is>
          <t>BRAZAO</t>
        </is>
      </c>
      <c r="F260" s="18" t="inlineStr">
        <is>
          <t>RENATO MIRANDA</t>
        </is>
      </c>
      <c r="G260" s="10" t="inlineStr">
        <is>
          <t>FAVORÁVEL ÀS EMENDAS Nº 01 E 02 COM SUBEMENDA DA COMISSÃO DE CONSTITUIÇÃO E JUSTIÇA</t>
        </is>
      </c>
      <c r="H260" s="37" t="inlineStr">
        <is>
          <t>23/12/2025</t>
        </is>
      </c>
      <c r="I260" s="14" t="inlineStr">
        <is>
          <t>8ªRE 
16/12/2025</t>
        </is>
      </c>
      <c r="J260" s="9" t="n">
        <v>45938</v>
      </c>
      <c r="K260" s="9" t="n">
        <v>45953</v>
      </c>
      <c r="L260" s="9" t="n">
        <v>45978</v>
      </c>
      <c r="M260" s="4" t="n"/>
      <c r="N260" s="4" t="n"/>
      <c r="O260" s="4" t="n"/>
      <c r="P260" s="4" t="n"/>
      <c r="Q260" s="4" t="inlineStr">
        <is>
          <t>Sim</t>
        </is>
      </c>
      <c r="R260" s="13" t="n"/>
      <c r="S260" s="4" t="n"/>
      <c r="T260" s="4" t="n"/>
      <c r="U260" s="7" t="n"/>
      <c r="V260" s="3" t="inlineStr">
        <is>
          <t>http://alerjln1.alerj.rj.gov.br/scpro1923.nsf/18c1dd68f96be3e7832566ec0018d833/e1b725d7971414d9032584c700681c6e?OpenDocument</t>
        </is>
      </c>
      <c r="W260" s="3">
        <f>RIGHT(C260, 4)</f>
        <v/>
      </c>
      <c r="X260" s="3">
        <f>LEFT(C260, LEN(C260) - 5)</f>
        <v/>
      </c>
    </row>
    <row r="261" ht="75" customHeight="1" s="79">
      <c r="A261" s="2" t="inlineStr">
        <is>
          <t>Projeto Lei</t>
        </is>
      </c>
      <c r="B261" s="4">
        <f>RIGHT(C261,4)</f>
        <v/>
      </c>
      <c r="C261" s="73" t="inlineStr">
        <is>
          <t>1342/2023</t>
        </is>
      </c>
      <c r="D261" s="2" t="inlineStr">
        <is>
          <t>AUTORIZA O PODER EXECUTIVO A DESENVOLVER SOFTWARE VOLTADO À PREVENÇÃO DE AFOGAMENTOS NO ESTADO DO RIO DE JANEIRO</t>
        </is>
      </c>
      <c r="E261" s="2" t="inlineStr">
        <is>
          <t>ELIKA TAKIMOTO</t>
        </is>
      </c>
      <c r="F261" s="18" t="inlineStr">
        <is>
          <t>RENATO MIRANDA</t>
        </is>
      </c>
      <c r="G261" s="10" t="inlineStr">
        <is>
          <t>FAVORÁVEL COM AS EMENDAS DA COMISSÃO DE CONSTITUIÇÃO E JUSTIÇA</t>
        </is>
      </c>
      <c r="H261" s="37" t="inlineStr">
        <is>
          <t>26/02/2026</t>
        </is>
      </c>
      <c r="I261" s="14" t="inlineStr">
        <is>
          <t>8ªRE 
16/12/2025</t>
        </is>
      </c>
      <c r="J261" s="9" t="n">
        <v>45944</v>
      </c>
      <c r="K261" s="9" t="n">
        <v>45953</v>
      </c>
      <c r="L261" s="9" t="n">
        <v>45978</v>
      </c>
      <c r="M261" s="4" t="n"/>
      <c r="N261" s="4" t="n"/>
      <c r="O261" s="4" t="n"/>
      <c r="P261" s="4" t="n"/>
      <c r="Q261" s="4" t="inlineStr">
        <is>
          <t>Sim</t>
        </is>
      </c>
      <c r="R261" s="13" t="n"/>
      <c r="S261" s="4" t="n"/>
      <c r="T261" s="4" t="n"/>
      <c r="U261" s="7" t="n"/>
      <c r="V261" s="3" t="inlineStr">
        <is>
          <t>http://alerjln1.alerj.rj.gov.br/scpro2327.nsf/18c1dd68f96be3e7832566ec0018d833/32540b24a6fd2d20032589cf0055e147?OpenDocument</t>
        </is>
      </c>
      <c r="W261" s="3">
        <f>RIGHT(C261, 4)</f>
        <v/>
      </c>
      <c r="X261" s="3">
        <f>LEFT(C261, LEN(C261) - 5)</f>
        <v/>
      </c>
    </row>
    <row r="262" ht="60" customHeight="1" s="79">
      <c r="A262" s="2" t="inlineStr">
        <is>
          <t>Projeto Lei</t>
        </is>
      </c>
      <c r="B262" s="4">
        <f>RIGHT(C262,4)</f>
        <v/>
      </c>
      <c r="C262" s="73" t="inlineStr">
        <is>
          <t>2299/2023</t>
        </is>
      </c>
      <c r="D262" s="2" t="inlineStr">
        <is>
          <t>DISPÕE SOBRE AS AUTONOMIAS TÉCNICA, CIENTÍFICA E FUNCIONAL, NO EXERCÍCIO DA ATIVIDADE DE PERÍCIA OFICIAL DE NATUREZA CRIMINAL, ASSEGURADAS PELA LEI FEDERAL 12.030/2009</t>
        </is>
      </c>
      <c r="E262" s="2" t="inlineStr">
        <is>
          <t>CARLOS MINC</t>
        </is>
      </c>
      <c r="F262" s="18" t="inlineStr">
        <is>
          <t>RENATO MIRANDA</t>
        </is>
      </c>
      <c r="G262" s="10" t="inlineStr">
        <is>
          <t>FAVORÁVEL</t>
        </is>
      </c>
      <c r="H262" s="37" t="inlineStr">
        <is>
          <t>26/02/2026</t>
        </is>
      </c>
      <c r="I262" s="14" t="inlineStr">
        <is>
          <t>8ªRE 
16/12/2025</t>
        </is>
      </c>
      <c r="J262" s="9" t="n">
        <v>45944</v>
      </c>
      <c r="K262" s="9" t="n">
        <v>45953</v>
      </c>
      <c r="L262" s="9" t="n">
        <v>45978</v>
      </c>
      <c r="M262" s="4" t="n"/>
      <c r="N262" s="4" t="n"/>
      <c r="O262" s="4" t="n"/>
      <c r="P262" s="4" t="n"/>
      <c r="Q262" s="4" t="inlineStr">
        <is>
          <t>Sim</t>
        </is>
      </c>
      <c r="R262" s="13" t="n"/>
      <c r="S262" s="4" t="n"/>
      <c r="T262" s="4" t="n"/>
      <c r="U262" s="7" t="n"/>
      <c r="V262" s="3" t="inlineStr">
        <is>
          <t>http://alerjln1.alerj.rj.gov.br/scpro2327.nsf/18c1dd68f96be3e7832566ec0018d833/2cd01072eb8e51ed03258a3f005d2536?OpenDocument</t>
        </is>
      </c>
      <c r="W262" s="3">
        <f>RIGHT(C262, 4)</f>
        <v/>
      </c>
      <c r="X262" s="3">
        <f>LEFT(C262, LEN(C262) - 5)</f>
        <v/>
      </c>
    </row>
    <row r="263" ht="75" customHeight="1" s="79">
      <c r="A263" s="2" t="inlineStr">
        <is>
          <t>Projeto Lei</t>
        </is>
      </c>
      <c r="B263" s="4">
        <f>RIGHT(C263,4)</f>
        <v/>
      </c>
      <c r="C263" s="73" t="inlineStr">
        <is>
          <t>2876/2024</t>
        </is>
      </c>
      <c r="D263" s="2" t="inlineStr">
        <is>
          <t>DISPÕE SOBRE O PROGRAMA DE APOIO A FAMÍLIAS E RESPONSÁVEIS POR PESSOAS PORTADORAS DE ATROFIA MUSCULAR ESPINHAL – AME –, ESCLEROSE LATERAL AMIOTRÓFICA – ELA – E OUTRAS DOENÇAS RARAS.</t>
        </is>
      </c>
      <c r="E263" s="2" t="inlineStr">
        <is>
          <t>MARTHA ROCHA</t>
        </is>
      </c>
      <c r="F263" s="18" t="inlineStr">
        <is>
          <t>RENATO MIRANDA</t>
        </is>
      </c>
      <c r="G263" s="10" t="inlineStr">
        <is>
          <t>FAVORÁVEL</t>
        </is>
      </c>
      <c r="H263" s="37" t="inlineStr">
        <is>
          <t>26/02/2026</t>
        </is>
      </c>
      <c r="I263" s="14" t="inlineStr">
        <is>
          <t>8ªRE 
16/12/2025</t>
        </is>
      </c>
      <c r="J263" s="9" t="n">
        <v>45944</v>
      </c>
      <c r="K263" s="9" t="n">
        <v>45953</v>
      </c>
      <c r="L263" s="9" t="n">
        <v>45978</v>
      </c>
      <c r="M263" s="4" t="n"/>
      <c r="N263" s="4" t="n"/>
      <c r="O263" s="4" t="n"/>
      <c r="P263" s="4" t="n"/>
      <c r="Q263" s="4" t="inlineStr">
        <is>
          <t>Sim</t>
        </is>
      </c>
      <c r="R263" s="13" t="n"/>
      <c r="S263" s="4" t="n"/>
      <c r="T263" s="4" t="n"/>
      <c r="U263" s="7" t="n"/>
      <c r="V263" s="3" t="inlineStr">
        <is>
          <t>http://alerjln1.alerj.rj.gov.br/scpro2327.nsf/18c1dd68f96be3e7832566ec0018d833/f1054edf8b5286d403258aba005c7410?OpenDocument</t>
        </is>
      </c>
      <c r="W263" s="3">
        <f>RIGHT(C263, 4)</f>
        <v/>
      </c>
      <c r="X263" s="3">
        <f>LEFT(C263, LEN(C263) - 5)</f>
        <v/>
      </c>
    </row>
    <row r="264" ht="60" customHeight="1" s="79">
      <c r="A264" s="2" t="inlineStr">
        <is>
          <t>Projeto Lei</t>
        </is>
      </c>
      <c r="B264" s="4" t="n"/>
      <c r="C264" s="73" t="inlineStr">
        <is>
          <t>2441/2023</t>
        </is>
      </c>
      <c r="D264" s="2" t="inlineStr">
        <is>
          <t>AUTORIZA O PODER EXECUTIVO A CRIAR PROGRAMA DE TREINAMENTO PARA SERVIDORES DA ÁREA DE SAÚDE DO SEXO FEMININO QUE FAÇAM ATENDIMENTO DOMICILIAR</t>
        </is>
      </c>
      <c r="E264" s="2" t="inlineStr">
        <is>
          <t>GISELLE MONTEIRO</t>
        </is>
      </c>
      <c r="F264" s="18" t="inlineStr">
        <is>
          <t>ALEXANDRE KNOPLOCH</t>
        </is>
      </c>
      <c r="G264" s="10" t="n"/>
      <c r="H264" s="37" t="n"/>
      <c r="I264" s="14" t="inlineStr">
        <is>
          <t>PLENÁRIO</t>
        </is>
      </c>
      <c r="J264" s="9" t="n">
        <v>45946</v>
      </c>
      <c r="K264" s="9" t="n">
        <v>45953</v>
      </c>
      <c r="L264" s="9" t="n">
        <v>46091</v>
      </c>
      <c r="M264" s="9" t="n">
        <v>46091</v>
      </c>
      <c r="N264" s="4" t="n"/>
      <c r="O264" s="4" t="n"/>
      <c r="P264" s="4" t="n"/>
      <c r="Q264" s="4" t="inlineStr">
        <is>
          <t>Não</t>
        </is>
      </c>
      <c r="R264" s="13" t="inlineStr">
        <is>
          <t>Não teve parecer porque foi direto a plenário em 12/03/2026</t>
        </is>
      </c>
      <c r="S264" s="4" t="n"/>
      <c r="T264" s="4" t="n"/>
      <c r="U264" s="7" t="n"/>
      <c r="V264" s="3" t="inlineStr">
        <is>
          <t>http://alerjln1.alerj.rj.gov.br/scpro2327.nsf/18c1dd68f96be3e7832566ec0018d833/e68294a2c12d046b03258a520061622c?OpenDocument</t>
        </is>
      </c>
      <c r="W264" s="3">
        <f>RIGHT(C264, 4)</f>
        <v/>
      </c>
      <c r="X264" s="3">
        <f>LEFT(C264, LEN(C264) - 5)</f>
        <v/>
      </c>
    </row>
    <row r="265" ht="75" customHeight="1" s="79">
      <c r="A265" s="2" t="inlineStr">
        <is>
          <t>Projeto Lei</t>
        </is>
      </c>
      <c r="B265" s="4" t="n"/>
      <c r="C265" s="73" t="inlineStr">
        <is>
          <t>3502/2024</t>
        </is>
      </c>
      <c r="D265" s="2" t="inlineStr">
        <is>
          <t>ESTABELECE O DIREITO DE PROVOCAÇÃO PARA REVISÃO DE PENSÃO PARA OS BENEFICIÁRIOS DE POLICIAIS MILITARES E BOMBEIROS MILITARES COM ÓBITO ATÉ O DIA 20 DE FEVEREIRO DE 2004, NA FORMAQUE MENCIONA.</t>
        </is>
      </c>
      <c r="E265" s="2" t="inlineStr">
        <is>
          <t>MARCELO DINO</t>
        </is>
      </c>
      <c r="F265" s="18" t="inlineStr">
        <is>
          <t>VINICIUS COZZOLINO</t>
        </is>
      </c>
      <c r="G265" s="10" t="inlineStr">
        <is>
          <t>FAVORÁVEL</t>
        </is>
      </c>
      <c r="H265" s="37" t="inlineStr">
        <is>
          <t>26/02/2026</t>
        </is>
      </c>
      <c r="I265" s="14" t="inlineStr">
        <is>
          <t>8ªRE 
16/12/2025</t>
        </is>
      </c>
      <c r="J265" s="9" t="n">
        <v>45946</v>
      </c>
      <c r="K265" s="9" t="n">
        <v>45953</v>
      </c>
      <c r="L265" s="9" t="n">
        <v>45986</v>
      </c>
      <c r="M265" s="4" t="n"/>
      <c r="N265" s="4" t="n"/>
      <c r="O265" s="4" t="n"/>
      <c r="P265" s="4" t="n"/>
      <c r="Q265" s="4" t="inlineStr">
        <is>
          <t>Sim</t>
        </is>
      </c>
      <c r="R265" s="13" t="n"/>
      <c r="S265" s="4" t="n"/>
      <c r="T265" s="4" t="n"/>
      <c r="U265" s="7" t="n"/>
      <c r="V265" s="3" t="inlineStr">
        <is>
          <t>http://alerjln1.alerj.rj.gov.br/scpro2327.nsf/18c1dd68f96be3e7832566ec0018d833/bc3ece539bd22ac703258b1600644898?OpenDocument</t>
        </is>
      </c>
      <c r="W265" s="3">
        <f>RIGHT(C265, 4)</f>
        <v/>
      </c>
      <c r="X265" s="3">
        <f>LEFT(C265, LEN(C265) - 5)</f>
        <v/>
      </c>
    </row>
    <row r="266" ht="60" customHeight="1" s="79">
      <c r="A266" s="2" t="inlineStr">
        <is>
          <t>Projeto Lei</t>
        </is>
      </c>
      <c r="B266" s="4" t="n"/>
      <c r="C266" s="73" t="inlineStr">
        <is>
          <t>3685/2017</t>
        </is>
      </c>
      <c r="D266" s="2" t="inlineStr">
        <is>
          <t>ALTERA A LEI N° 7.106, DE 18 DE NOVEMBRO DE 2015, PARA DISPOR SOBRE O PROGRAMA DE REDISTRIBUIÇÃO DE ALIMENTOS EXCEDENTES, NA FORMA QUE MENCIONA.</t>
        </is>
      </c>
      <c r="E266" s="2" t="inlineStr">
        <is>
          <t>ÁTILA NUNES</t>
        </is>
      </c>
      <c r="F266" s="18" t="inlineStr">
        <is>
          <t>CARLOS MACEDO</t>
        </is>
      </c>
      <c r="G266" s="10" t="inlineStr">
        <is>
          <t>FAVORÁVEL</t>
        </is>
      </c>
      <c r="H266" s="37" t="inlineStr">
        <is>
          <t>07/01/2026</t>
        </is>
      </c>
      <c r="I266" s="14" t="inlineStr">
        <is>
          <t>8ªRE 
16/12/2025</t>
        </is>
      </c>
      <c r="J266" s="9" t="n">
        <v>45952</v>
      </c>
      <c r="K266" s="9" t="n">
        <v>45953</v>
      </c>
      <c r="L266" s="9" t="n">
        <v>45993</v>
      </c>
      <c r="M266" s="4" t="n"/>
      <c r="N266" s="4" t="n"/>
      <c r="O266" s="4" t="n"/>
      <c r="P266" s="4" t="n"/>
      <c r="Q266" s="4" t="inlineStr">
        <is>
          <t>Sim</t>
        </is>
      </c>
      <c r="R266" s="13" t="n"/>
      <c r="S266" s="4" t="n"/>
      <c r="T266" s="4" t="n"/>
      <c r="U266" s="7" t="n"/>
      <c r="V266" s="3" t="inlineStr">
        <is>
          <t>http://alerjln1.alerj.rj.gov.br/scpro1519.nsf/18c1dd68f96be3e7832566ec0018d833/c316505839d3e79e832581ef0050f7ab?OpenDocument</t>
        </is>
      </c>
      <c r="W266" s="3">
        <f>RIGHT(C266, 4)</f>
        <v/>
      </c>
      <c r="X266" s="3">
        <f>LEFT(C266, LEN(C266) - 5)</f>
        <v/>
      </c>
    </row>
    <row r="267" ht="45" customHeight="1" s="79">
      <c r="A267" s="2" t="inlineStr">
        <is>
          <t>Projeto Lei</t>
        </is>
      </c>
      <c r="B267" s="4" t="n"/>
      <c r="C267" s="73" t="inlineStr">
        <is>
          <t>3915/2018</t>
        </is>
      </c>
      <c r="D267" s="2" t="inlineStr">
        <is>
          <t>ESTABELECE O NÚMERO DE BILHETERIAS EM FUNCIONAMENTO NA REDE METROVIÁRIA DO RIO DE JANEIRO</t>
        </is>
      </c>
      <c r="E267" s="2" t="inlineStr">
        <is>
          <t>ZEIDAN</t>
        </is>
      </c>
      <c r="F267" s="18" t="inlineStr">
        <is>
          <t>CARLOS MACEDO</t>
        </is>
      </c>
      <c r="G267" s="10" t="inlineStr">
        <is>
          <t>FAVORÁVEL</t>
        </is>
      </c>
      <c r="H267" s="37" t="inlineStr">
        <is>
          <t>26/02/2026</t>
        </is>
      </c>
      <c r="I267" s="14" t="inlineStr">
        <is>
          <t>8ªRE 
16/12/2025</t>
        </is>
      </c>
      <c r="J267" s="9" t="n">
        <v>45952</v>
      </c>
      <c r="K267" s="9" t="n">
        <v>45953</v>
      </c>
      <c r="L267" s="9" t="n">
        <v>45993</v>
      </c>
      <c r="M267" s="9" t="n"/>
      <c r="N267" s="9" t="n"/>
      <c r="O267" s="9" t="n"/>
      <c r="P267" s="9" t="n"/>
      <c r="Q267" s="4" t="inlineStr">
        <is>
          <t>Sim</t>
        </is>
      </c>
      <c r="R267" s="13" t="n"/>
      <c r="S267" s="4" t="n"/>
      <c r="T267" s="4" t="n"/>
      <c r="U267" s="7" t="n"/>
      <c r="V267" s="3" t="inlineStr">
        <is>
          <t>http://alerjln1.alerj.rj.gov.br/scpro1519.nsf/18c1dd68f96be3e7832566ec0018d833/014f8ad0a9404bfe832582560060de1e?OpenDocument</t>
        </is>
      </c>
      <c r="W267" s="3">
        <f>RIGHT(C267, 4)</f>
        <v/>
      </c>
      <c r="X267" s="3">
        <f>LEFT(C267, LEN(C267) - 5)</f>
        <v/>
      </c>
    </row>
    <row r="268" ht="135" customHeight="1" s="79">
      <c r="A268" s="2" t="inlineStr">
        <is>
          <t>Projeto Lei</t>
        </is>
      </c>
      <c r="B268" s="4" t="n"/>
      <c r="C268" s="73" t="inlineStr">
        <is>
          <t>1837/2020</t>
        </is>
      </c>
      <c r="D268" s="2" t="inlineStr">
        <is>
          <t>DECLARA A REGIÃO DA COSTA VERDE COMO ÁREA ESTADUAL DE INTERESSE TURÍSTICO, NOS TERMOS DA LEI Nº 921, DE 11 DE NOVEMBRO DE 1985.</t>
        </is>
      </c>
      <c r="E268" s="2" t="inlineStr">
        <is>
          <t>ANDERSON  MORAES,ALANA PASSOS,FILIPPE POUBEL,JORGE FELIPPE NETO,MARCELO DO SEU DINO,CORONEL SALEMA,MÁRCIO GUALBERTO,DR. SERGINHO,RENATO ZACA</t>
        </is>
      </c>
      <c r="F268" s="18" t="inlineStr">
        <is>
          <t>CARLOS MACEDO</t>
        </is>
      </c>
      <c r="G268" s="10" t="n"/>
      <c r="H268" s="37" t="n"/>
      <c r="I268" s="14" t="n"/>
      <c r="J268" s="9" t="n">
        <v>45952</v>
      </c>
      <c r="K268" s="9" t="n">
        <v>45953</v>
      </c>
      <c r="L268" s="9" t="n"/>
      <c r="M268" s="9" t="n"/>
      <c r="N268" s="9" t="n"/>
      <c r="O268" s="9" t="n"/>
      <c r="P268" s="9" t="n"/>
      <c r="Q268" s="4" t="inlineStr">
        <is>
          <t>Sim</t>
        </is>
      </c>
      <c r="R268" s="2" t="n"/>
      <c r="S268" s="4" t="n"/>
      <c r="T268" s="4" t="n"/>
      <c r="U268" s="7" t="n"/>
      <c r="V268" s="3" t="inlineStr">
        <is>
          <t>http://alerjln1.alerj.rj.gov.br/scpro1923.nsf/18c1dd68f96be3e7832566ec0018d833/b94e098a8e3378a7032585030063bfa1?OpenDocument</t>
        </is>
      </c>
      <c r="W268" s="3">
        <f>RIGHT(C268, 4)</f>
        <v/>
      </c>
      <c r="X268" s="3">
        <f>LEFT(C268, LEN(C268) - 5)</f>
        <v/>
      </c>
    </row>
    <row r="269" ht="45" customHeight="1" s="79">
      <c r="A269" s="2" t="inlineStr">
        <is>
          <t>Projeto Lei</t>
        </is>
      </c>
      <c r="B269" s="4" t="n"/>
      <c r="C269" s="73" t="inlineStr">
        <is>
          <t>2032/2023</t>
        </is>
      </c>
      <c r="D269" s="2" t="inlineStr">
        <is>
          <t>INSTITUI O CADASTRO UNIFICADO DE ANIMAIS DOMÉSTICOS NO ÂMBITO DO ESTADO DO RIO DE JANEIRO E DÁ OUTRAS PROVIDÊNCIAS</t>
        </is>
      </c>
      <c r="E269" s="2" t="inlineStr">
        <is>
          <t>VITOR JUNIOR</t>
        </is>
      </c>
      <c r="F269" s="18" t="inlineStr">
        <is>
          <t>CARLOS MACEDO</t>
        </is>
      </c>
      <c r="G269" s="10" t="inlineStr">
        <is>
          <t>FAVORÁVEL</t>
        </is>
      </c>
      <c r="H269" s="37" t="inlineStr">
        <is>
          <t>11/02/2026</t>
        </is>
      </c>
      <c r="I269" s="14" t="inlineStr">
        <is>
          <t>8ªRE 
16/12/2025</t>
        </is>
      </c>
      <c r="J269" s="9" t="n">
        <v>45952</v>
      </c>
      <c r="K269" s="9" t="n">
        <v>45953</v>
      </c>
      <c r="L269" s="9" t="n">
        <v>45993</v>
      </c>
      <c r="M269" s="9" t="n">
        <v>46065</v>
      </c>
      <c r="N269" s="4" t="n"/>
      <c r="O269" s="4" t="n"/>
      <c r="P269" s="4" t="n"/>
      <c r="Q269" s="4" t="inlineStr">
        <is>
          <t>Não</t>
        </is>
      </c>
      <c r="R269" s="13" t="n"/>
      <c r="S269" s="4" t="n"/>
      <c r="T269" s="4" t="n"/>
      <c r="U269" s="7" t="n"/>
      <c r="V269" s="3" t="inlineStr">
        <is>
          <t>http://alerjln1.alerj.rj.gov.br/scpro2327.nsf/18c1dd68f96be3e7832566ec0018d833/f0029602415dd62a03258a290069a8fc?OpenDocument</t>
        </is>
      </c>
      <c r="W269" s="3">
        <f>RIGHT(C269, 4)</f>
        <v/>
      </c>
      <c r="X269" s="3">
        <f>LEFT(C269, LEN(C269) - 5)</f>
        <v/>
      </c>
    </row>
    <row r="270" ht="60" customHeight="1" s="79">
      <c r="A270" s="2" t="inlineStr">
        <is>
          <t>Projeto Lei</t>
        </is>
      </c>
      <c r="B270" s="4" t="n"/>
      <c r="C270" s="73" t="inlineStr">
        <is>
          <t>1646/2023</t>
        </is>
      </c>
      <c r="D270" s="2" t="inlineStr">
        <is>
          <t>ALTERA A LEI ESTADUAL Nº 3.900 DE 19 DE JULHO DE 2002, QUE "INSTITUI O CÓDIGO ESTADUAL DE PROTEÇÃO AOS ANIMAIS, NO ÂMBITO DO ESTADO DO RIO DE JANEIRO”.</t>
        </is>
      </c>
      <c r="E270" s="2" t="inlineStr">
        <is>
          <t>CARLINHOS BNH</t>
        </is>
      </c>
      <c r="F270" s="18" t="inlineStr">
        <is>
          <t>ALEXANDRE KNOPLOCH</t>
        </is>
      </c>
      <c r="G270" s="10" t="n"/>
      <c r="H270" s="37" t="n"/>
      <c r="I270" s="14" t="n"/>
      <c r="J270" s="9" t="n">
        <v>45952</v>
      </c>
      <c r="K270" s="9" t="n">
        <v>45953</v>
      </c>
      <c r="L270" s="9" t="n"/>
      <c r="M270" s="4" t="n"/>
      <c r="N270" s="4" t="n"/>
      <c r="O270" s="4" t="n"/>
      <c r="P270" s="4" t="n"/>
      <c r="Q270" s="4" t="inlineStr">
        <is>
          <t>Sim</t>
        </is>
      </c>
      <c r="R270" s="13" t="n"/>
      <c r="S270" s="4" t="n"/>
      <c r="T270" s="4" t="n"/>
      <c r="U270" s="7" t="n"/>
      <c r="V270" s="3" t="inlineStr">
        <is>
          <t>http://alerjln1.alerj.rj.gov.br/scpro2327.nsf/18c1dd68f96be3e7832566ec0018d833/59f5f737f012d01a03258a0000617940?OpenDocument</t>
        </is>
      </c>
      <c r="W270" s="3">
        <f>RIGHT(C270, 4)</f>
        <v/>
      </c>
      <c r="X270" s="3">
        <f>LEFT(C270, LEN(C270) - 5)</f>
        <v/>
      </c>
    </row>
    <row r="271" ht="75" customHeight="1" s="79">
      <c r="A271" s="2" t="inlineStr">
        <is>
          <t>Projeto Lei</t>
        </is>
      </c>
      <c r="B271" s="4" t="n"/>
      <c r="C271" s="73" t="inlineStr">
        <is>
          <t>1503/2023</t>
        </is>
      </c>
      <c r="D271" s="2" t="inlineStr">
        <is>
          <t>ESTABELECE NORMAS PARA COBRANÇAS REALIZADAS POR TELEFONE A CONSUMIDORES INADIMPLENTES NO ÂMBITO DO ESTADO DO RIO DE JANEIRO</t>
        </is>
      </c>
      <c r="E271" s="2" t="inlineStr">
        <is>
          <t>MARCIO GUALBERTO</t>
        </is>
      </c>
      <c r="F271" s="18" t="inlineStr">
        <is>
          <t>ALEXANDRE KNOPLOCH</t>
        </is>
      </c>
      <c r="G271" s="10" t="inlineStr">
        <is>
          <t>FAVORÁVEL COM O SUBSTITUTIVO DA COMISSÃO DE CONSTITUIÇÃO E JUSTIÇA</t>
        </is>
      </c>
      <c r="H271" s="37" t="inlineStr">
        <is>
          <t>26/02/2026</t>
        </is>
      </c>
      <c r="I271" s="14" t="inlineStr">
        <is>
          <t>8ªRE 
16/12/2025</t>
        </is>
      </c>
      <c r="J271" s="9" t="n">
        <v>45952</v>
      </c>
      <c r="K271" s="9" t="n">
        <v>45953</v>
      </c>
      <c r="L271" s="9" t="n">
        <v>45979</v>
      </c>
      <c r="M271" s="4" t="n"/>
      <c r="N271" s="4" t="n"/>
      <c r="O271" s="4" t="n"/>
      <c r="P271" s="4" t="n"/>
      <c r="Q271" s="4" t="inlineStr">
        <is>
          <t>Sim</t>
        </is>
      </c>
      <c r="R271" s="13" t="n"/>
      <c r="S271" s="4" t="n"/>
      <c r="T271" s="4" t="n"/>
      <c r="U271" s="7" t="n"/>
      <c r="V271" s="3" t="inlineStr">
        <is>
          <t>http://alerjln1.alerj.rj.gov.br/scpro2327.nsf/18c1dd68f96be3e7832566ec0018d833/9b7529167ba25eb5032589dc00716948?OpenDocument</t>
        </is>
      </c>
      <c r="W271" s="3">
        <f>RIGHT(C271, 4)</f>
        <v/>
      </c>
      <c r="X271" s="3">
        <f>LEFT(C271, LEN(C271) - 5)</f>
        <v/>
      </c>
    </row>
    <row r="272" ht="120" customHeight="1" s="79">
      <c r="A272" s="2" t="inlineStr">
        <is>
          <t>Projeto Lei</t>
        </is>
      </c>
      <c r="B272" s="4" t="n"/>
      <c r="C272" s="73" t="inlineStr">
        <is>
          <t>1397/2023</t>
        </is>
      </c>
      <c r="D272" s="2" t="inlineStr">
        <is>
          <t>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t>
        </is>
      </c>
      <c r="E272" s="2" t="inlineStr">
        <is>
          <t>LUCINHA, LUIZ PAULO, Felipinho Ravis</t>
        </is>
      </c>
      <c r="F272" s="18" t="inlineStr">
        <is>
          <t>VINICIUS COZZOLINO</t>
        </is>
      </c>
      <c r="G272" s="10" t="inlineStr">
        <is>
          <t>FAVORÁVEL</t>
        </is>
      </c>
      <c r="H272" s="37" t="inlineStr">
        <is>
          <t>26/02/2026</t>
        </is>
      </c>
      <c r="I272" s="14" t="inlineStr">
        <is>
          <t>8ªRE 
16/12/2025</t>
        </is>
      </c>
      <c r="J272" s="9" t="n">
        <v>45952</v>
      </c>
      <c r="K272" s="9" t="n">
        <v>45953</v>
      </c>
      <c r="L272" s="9" t="n">
        <v>45986</v>
      </c>
      <c r="M272" s="4" t="n"/>
      <c r="N272" s="4" t="n"/>
      <c r="O272" s="4" t="n"/>
      <c r="P272" s="4" t="n"/>
      <c r="Q272" s="4" t="inlineStr">
        <is>
          <t>Sim</t>
        </is>
      </c>
      <c r="R272" s="13" t="n"/>
      <c r="S272" s="4" t="n"/>
      <c r="T272" s="4" t="n"/>
      <c r="U272" s="7" t="n"/>
      <c r="V272" s="3" t="inlineStr">
        <is>
          <t>http://alerjln1.alerj.rj.gov.br/scpro2327.nsf/18c1dd68f96be3e7832566ec0018d833/d15daaf6117f85b50325898e00744144?OpenDocument</t>
        </is>
      </c>
      <c r="W272" s="3">
        <f>RIGHT(C272, 4)</f>
        <v/>
      </c>
      <c r="X272" s="3">
        <f>LEFT(C272, LEN(C272) - 5)</f>
        <v/>
      </c>
    </row>
    <row r="273" ht="75" customHeight="1" s="79">
      <c r="A273" s="2" t="inlineStr">
        <is>
          <t>Projeto Lei</t>
        </is>
      </c>
      <c r="B273" s="4" t="n">
        <v>5</v>
      </c>
      <c r="C273" s="73" t="inlineStr">
        <is>
          <t>672/2023</t>
        </is>
      </c>
      <c r="D273" s="2" t="inlineStr">
        <is>
          <t>CRIA O PROGRAMA ESTADUAL DE FOMENTO E DIFUSÃO DO FORRÓ E DÁ OUTRAS PROVIDÊNCIAS.</t>
        </is>
      </c>
      <c r="E273" s="2" t="inlineStr">
        <is>
          <t>VERONICA LIMA</t>
        </is>
      </c>
      <c r="F273" s="18" t="inlineStr">
        <is>
          <t>ALEXANDRE KNOPLOCH</t>
        </is>
      </c>
      <c r="G273" s="10" t="inlineStr">
        <is>
          <t>FAVORÁVEL COM AS EMENDAS DA COMISSÃO DE CONSTITUIÇÃO E JUSTIÇA</t>
        </is>
      </c>
      <c r="H273" s="37" t="n"/>
      <c r="I273" s="14" t="inlineStr">
        <is>
          <t>PRÓXIMA</t>
        </is>
      </c>
      <c r="J273" s="9" t="n">
        <v>45952</v>
      </c>
      <c r="K273" s="9" t="n">
        <v>45953</v>
      </c>
      <c r="L273" s="9" t="n">
        <v>46106</v>
      </c>
      <c r="M273" s="4" t="n"/>
      <c r="N273" s="4" t="n"/>
      <c r="O273" s="4" t="n"/>
      <c r="P273" s="4" t="n"/>
      <c r="Q273" s="4" t="inlineStr">
        <is>
          <t>Sim</t>
        </is>
      </c>
      <c r="R273" s="13" t="n"/>
      <c r="S273" s="4" t="n"/>
      <c r="T273" s="4" t="n"/>
      <c r="U273" s="7" t="n"/>
      <c r="V273" s="3" t="inlineStr">
        <is>
          <t>http://alerjln1.alerj.rj.gov.br/scpro2327.nsf/18c1dd68f96be3e7832566ec0018d833/3c9dfe68dbe7725e032589880062f4c6?OpenDocument</t>
        </is>
      </c>
      <c r="W273" s="3">
        <f>RIGHT(C273, 4)</f>
        <v/>
      </c>
      <c r="X273" s="3">
        <f>LEFT(C273, LEN(C273) - 5)</f>
        <v/>
      </c>
    </row>
    <row r="274" ht="135" customHeight="1" s="79">
      <c r="A274" s="2" t="inlineStr">
        <is>
          <t>Projeto Lei</t>
        </is>
      </c>
      <c r="B274" s="4" t="n">
        <v>4</v>
      </c>
      <c r="C274" s="73" t="inlineStr">
        <is>
          <t>626/2023</t>
        </is>
      </c>
      <c r="D274" s="2" t="inlineStr">
        <is>
          <t>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t>
        </is>
      </c>
      <c r="E274" s="2" t="inlineStr">
        <is>
          <t>MARTHA ROCHA</t>
        </is>
      </c>
      <c r="F274" s="18" t="inlineStr">
        <is>
          <t>ALEXANDRE KNOPLOCH</t>
        </is>
      </c>
      <c r="G274" s="10" t="inlineStr">
        <is>
          <t>FAVORÁVEL COM AS EMENDAS DA COMISSÃO DE CONSTITUIÇÃO E JUSTIÇA E DA COMISSÃO DE ECONOMIA, INDÚSTRIA E COMÉRCIO</t>
        </is>
      </c>
      <c r="H274" s="37" t="n"/>
      <c r="I274" s="14" t="inlineStr">
        <is>
          <t>PRÓXIMA</t>
        </is>
      </c>
      <c r="J274" s="9" t="n">
        <v>45952</v>
      </c>
      <c r="K274" s="9" t="n">
        <v>45953</v>
      </c>
      <c r="L274" s="9" t="n">
        <v>46106</v>
      </c>
      <c r="M274" s="4" t="n"/>
      <c r="N274" s="4" t="n"/>
      <c r="O274" s="4" t="n"/>
      <c r="P274" s="4" t="n"/>
      <c r="Q274" s="4" t="inlineStr">
        <is>
          <t>Sim</t>
        </is>
      </c>
      <c r="R274" s="13" t="n"/>
      <c r="S274" s="4" t="n"/>
      <c r="T274" s="4" t="n"/>
      <c r="U274" s="7" t="n"/>
      <c r="V274" s="3" t="inlineStr">
        <is>
          <t>http://alerjln1.alerj.rj.gov.br/scpro2327.nsf/18c1dd68f96be3e7832566ec0018d833/bf2050b8c439f6c60325898700498241?OpenDocument</t>
        </is>
      </c>
      <c r="W274" s="3">
        <f>RIGHT(C274, 4)</f>
        <v/>
      </c>
      <c r="X274" s="3">
        <f>LEFT(C274, LEN(C274) - 5)</f>
        <v/>
      </c>
    </row>
    <row r="275" ht="165" customHeight="1" s="79">
      <c r="A275" s="2" t="inlineStr">
        <is>
          <t>Projeto Lei</t>
        </is>
      </c>
      <c r="B275" s="4" t="n">
        <v>3</v>
      </c>
      <c r="C275" s="73" t="inlineStr">
        <is>
          <t>153/2023</t>
        </is>
      </c>
      <c r="D275" s="2" t="inlineStr">
        <is>
          <t>ALTERA A LEI Nº 6.226, DE 24 DE ABRIL DE 2012, PARA DETERMINAR A INSTALAÇÃO DE CABINES INDIVIDUAIS DE MATERIAL OPACO NOS CAIXAS DE ATEDNIMENTO PRESENCIAL E CAIXAS ELETRÔNICOS DE TODAS AS AGÊNCIAS BANCÁRIAS E INSTITUIÇÕES FINANCEIRAS COM ATUAÇÃO NO ESTADO DO RIO DE JANEIRO.</t>
        </is>
      </c>
      <c r="E275" s="2" t="inlineStr">
        <is>
          <t>MÁRCIO CANELLA</t>
        </is>
      </c>
      <c r="F275" s="18" t="inlineStr">
        <is>
          <t>ALEXANDRE KNOPLOCH</t>
        </is>
      </c>
      <c r="G275" s="10" t="inlineStr">
        <is>
          <t>FAVORÁVEL COM O PARECER DA COMISSÃO DE CONSTITUIÇÃO E JUSTIÇCA E A EMENDA DA COMISSÃO DE SEGURANÇA PÚBLICA E ASSUNTOS DE POLÍCIA</t>
        </is>
      </c>
      <c r="H275" s="37" t="n"/>
      <c r="I275" s="14" t="inlineStr">
        <is>
          <t>PRÓXIMA</t>
        </is>
      </c>
      <c r="J275" s="9" t="n">
        <v>45952</v>
      </c>
      <c r="K275" s="9" t="n">
        <v>45953</v>
      </c>
      <c r="L275" s="9" t="n">
        <v>46079</v>
      </c>
      <c r="M275" s="9" t="n"/>
      <c r="N275" s="9" t="n"/>
      <c r="O275" s="9" t="n"/>
      <c r="P275" s="9" t="n"/>
      <c r="Q275" s="4" t="inlineStr">
        <is>
          <t>Sim</t>
        </is>
      </c>
      <c r="R275" s="13" t="n"/>
      <c r="S275" s="4" t="n"/>
      <c r="T275" s="4" t="n"/>
      <c r="U275" s="7" t="n"/>
      <c r="V275" s="3" t="inlineStr">
        <is>
          <t>http://alerjln1.alerj.rj.gov.br/scpro2327.nsf/18c1dd68f96be3e7832566ec0018d833/259570fc89859f270325894f00525c60?OpenDocument</t>
        </is>
      </c>
      <c r="W275" s="3">
        <f>RIGHT(C275, 4)</f>
        <v/>
      </c>
      <c r="X275" s="3">
        <f>LEFT(C275, LEN(C275) - 5)</f>
        <v/>
      </c>
    </row>
    <row r="276" ht="60" customHeight="1" s="79">
      <c r="A276" s="2" t="inlineStr">
        <is>
          <t>Projeto Lei</t>
        </is>
      </c>
      <c r="B276" s="4">
        <f>RIGHT(C276,4)</f>
        <v/>
      </c>
      <c r="C276" s="73" t="inlineStr">
        <is>
          <t>3472/2024</t>
        </is>
      </c>
      <c r="D276" s="2" t="inlineStr">
        <is>
          <t>DETERMINA QUE HOSPITAIS, CLÍNICAS, CENTROS DE IMAGENS E LABORATÓRIOS SEDIADOS NO ESTADO DO RIO DE JANEIRO COMUNIQUEM PREVIAMENTE AO PACIENTE O CANCELAMENTO DO EXAME AGENDADO.</t>
        </is>
      </c>
      <c r="E276" s="2" t="inlineStr">
        <is>
          <t>CARLA MACHADO</t>
        </is>
      </c>
      <c r="F276" s="18" t="inlineStr">
        <is>
          <t>ALEXANDRE KNOPLOCH</t>
        </is>
      </c>
      <c r="G276" s="10" t="n"/>
      <c r="H276" s="37" t="n"/>
      <c r="I276" s="14" t="n"/>
      <c r="J276" s="9" t="n">
        <v>45952</v>
      </c>
      <c r="K276" s="9" t="n">
        <v>45953</v>
      </c>
      <c r="L276" s="9" t="n"/>
      <c r="M276" s="9" t="n"/>
      <c r="N276" s="9" t="n"/>
      <c r="O276" s="9" t="n"/>
      <c r="P276" s="9" t="n"/>
      <c r="Q276" s="4" t="inlineStr">
        <is>
          <t>Sim</t>
        </is>
      </c>
      <c r="R276" s="2" t="n"/>
      <c r="S276" s="4" t="n"/>
      <c r="T276" s="4" t="n"/>
      <c r="U276" s="7" t="n"/>
      <c r="V276" s="3" t="inlineStr">
        <is>
          <t>http://alerjln1.alerj.rj.gov.br/scpro2327.nsf/18c1dd68f96be3e7832566ec0018d833/8324aeedecc7c7f603258b0a005c9990?OpenDocument</t>
        </is>
      </c>
      <c r="W276" s="3">
        <f>RIGHT(C276, 4)</f>
        <v/>
      </c>
      <c r="X276" s="3">
        <f>LEFT(C276, LEN(C276) - 5)</f>
        <v/>
      </c>
    </row>
    <row r="277" ht="75" customHeight="1" s="79">
      <c r="A277" s="2" t="inlineStr">
        <is>
          <t>Projeto Lei</t>
        </is>
      </c>
      <c r="B277" s="4">
        <f>RIGHT(C277,4)</f>
        <v/>
      </c>
      <c r="C277" s="73" t="inlineStr">
        <is>
          <t>1359/2023</t>
        </is>
      </c>
      <c r="D277" s="2" t="inlineStr">
        <is>
          <t>DISPÕE SOBRE A INCLUSÃO DE VAGAS PRIORITÁRIA NO PROGRAMA JOVEM APRENDIZ PARA ÓRFÃOS ABRIGADOS COM 18 ANOS QUE NÃO TENHAM SIDO ADOTADOS.</t>
        </is>
      </c>
      <c r="E277" s="2" t="inlineStr">
        <is>
          <t>CHICO MACHADO</t>
        </is>
      </c>
      <c r="F277" s="18" t="inlineStr">
        <is>
          <t>ALEXANDRE KNOPLOCH</t>
        </is>
      </c>
      <c r="G277" s="10" t="inlineStr">
        <is>
          <t>FAVORÁVEL COM O SUBSTITUTIVO DA COMISSÃO DE CONSTITUIÇÃO E JUSTIÇA</t>
        </is>
      </c>
      <c r="H277" s="37" t="inlineStr">
        <is>
          <t>26/02/2026</t>
        </is>
      </c>
      <c r="I277" s="14" t="inlineStr">
        <is>
          <t>8ªRE 
16/12/2025</t>
        </is>
      </c>
      <c r="J277" s="9" t="n">
        <v>45952</v>
      </c>
      <c r="K277" s="9" t="n">
        <v>45953</v>
      </c>
      <c r="L277" s="9" t="n">
        <v>45979</v>
      </c>
      <c r="M277" s="4" t="n"/>
      <c r="N277" s="4" t="n"/>
      <c r="O277" s="4" t="n"/>
      <c r="P277" s="4" t="n"/>
      <c r="Q277" s="4" t="inlineStr">
        <is>
          <t>Sim</t>
        </is>
      </c>
      <c r="R277" s="13" t="n"/>
      <c r="S277" s="4" t="n"/>
      <c r="T277" s="4" t="n"/>
      <c r="U277" s="7" t="n"/>
      <c r="V277" s="3" t="inlineStr">
        <is>
          <t>http://alerjln1.alerj.rj.gov.br/scpro2327.nsf/18c1dd68f96be3e7832566ec0018d833/dcdfb36101867b00032589d4005810a2?OpenDocument</t>
        </is>
      </c>
      <c r="W277" s="3">
        <f>RIGHT(C277, 4)</f>
        <v/>
      </c>
      <c r="X277" s="3">
        <f>LEFT(C277, LEN(C277) - 5)</f>
        <v/>
      </c>
    </row>
    <row r="278" ht="75" customHeight="1" s="79">
      <c r="A278" s="2" t="inlineStr">
        <is>
          <t>Projeto Lei</t>
        </is>
      </c>
      <c r="B278" s="4">
        <f>RIGHT(C278,4)</f>
        <v/>
      </c>
      <c r="C278" s="73" t="inlineStr">
        <is>
          <t>557/2023</t>
        </is>
      </c>
      <c r="D278" s="2" t="inlineStr">
        <is>
          <t>ALTERA A REDAÇÃO DA LEI Nº 8.552/2019, DE 08 DE OUTUBRO DE 2019 QUE DISCIPLINA O SERVIÇO DE TRANSPORTE PARTICULAR DE PASSAGEIROS POR APLICATIVO E DÁ OUTRAS PROVIDÊNCIAS.</t>
        </is>
      </c>
      <c r="E278" s="2" t="inlineStr">
        <is>
          <t>BRAZAO, Rosenverg Reis</t>
        </is>
      </c>
      <c r="F278" s="18" t="inlineStr">
        <is>
          <t>VINICIUS COZZOLINO</t>
        </is>
      </c>
      <c r="G278" s="10" t="inlineStr">
        <is>
          <t>FAVORÁVEL COM AS EMENDAS DA COMISSÃO DE CONSTITUIÇÃO E JUSTIÇA</t>
        </is>
      </c>
      <c r="H278" s="37" t="inlineStr">
        <is>
          <t>23/12/2025</t>
        </is>
      </c>
      <c r="I278" s="14" t="inlineStr">
        <is>
          <t>8ªRE 
16/12/2025</t>
        </is>
      </c>
      <c r="J278" s="9" t="n">
        <v>45952</v>
      </c>
      <c r="K278" s="9" t="n">
        <v>45953</v>
      </c>
      <c r="L278" s="9" t="n">
        <v>45986</v>
      </c>
      <c r="M278" s="4" t="n"/>
      <c r="N278" s="4" t="n"/>
      <c r="O278" s="4" t="n"/>
      <c r="P278" s="4" t="n"/>
      <c r="Q278" s="4" t="inlineStr">
        <is>
          <t>Sim</t>
        </is>
      </c>
      <c r="R278" s="13" t="n"/>
      <c r="S278" s="4" t="n"/>
      <c r="T278" s="4" t="n"/>
      <c r="U278" s="7" t="n"/>
      <c r="V278" s="3" t="inlineStr">
        <is>
          <t>http://alerjln1.alerj.rj.gov.br/scpro2327.nsf/18c1dd68f96be3e7832566ec0018d833/9f31f08e05c6fcbe03258980004d36b2?OpenDocument</t>
        </is>
      </c>
      <c r="W278" s="3">
        <f>RIGHT(C278, 4)</f>
        <v/>
      </c>
      <c r="X278" s="3">
        <f>LEFT(C278, LEN(C278) - 5)</f>
        <v/>
      </c>
    </row>
    <row r="279" ht="75" customHeight="1" s="79">
      <c r="A279" s="2" t="inlineStr">
        <is>
          <t>Projeto Lei</t>
        </is>
      </c>
      <c r="B279" s="4">
        <f>RIGHT(C279,4)</f>
        <v/>
      </c>
      <c r="C279" s="73" t="inlineStr">
        <is>
          <t>455/2023</t>
        </is>
      </c>
      <c r="D279" s="2" t="inlineStr">
        <is>
          <t>DISPÕE SOBRE O FORNECIMENTO DE  PROTETORES AURICULARES PARA AS PESSOAS COM TRANSTORNO DE ESPECTRO AUTISTA – TEA, QUE POSSUEM HIPERSENSIBILIDADE AUDITIVA, NOS ESTABELECIMENTOS QUE MENCIONA.</t>
        </is>
      </c>
      <c r="E279" s="2" t="inlineStr">
        <is>
          <t>LUIZ CLAUDIO RIBEIRO</t>
        </is>
      </c>
      <c r="F279" s="18" t="inlineStr">
        <is>
          <t>VINICIUS COZZOLINO</t>
        </is>
      </c>
      <c r="G279" s="10" t="inlineStr">
        <is>
          <t>FAVORÁVEL</t>
        </is>
      </c>
      <c r="H279" s="37" t="inlineStr">
        <is>
          <t>05/03/2026</t>
        </is>
      </c>
      <c r="I279" s="14" t="inlineStr">
        <is>
          <t>8ªRE 
16/12/2025</t>
        </is>
      </c>
      <c r="J279" s="9" t="n">
        <v>45952</v>
      </c>
      <c r="K279" s="9" t="n">
        <v>45953</v>
      </c>
      <c r="L279" s="9" t="n">
        <v>45986</v>
      </c>
      <c r="M279" s="9" t="n">
        <v>46086</v>
      </c>
      <c r="N279" s="4" t="n"/>
      <c r="O279" s="4" t="n"/>
      <c r="P279" s="4" t="n"/>
      <c r="Q279" s="4" t="inlineStr">
        <is>
          <t>Não</t>
        </is>
      </c>
      <c r="R279" s="13" t="n"/>
      <c r="S279" s="4" t="n"/>
      <c r="T279" s="4" t="n"/>
      <c r="U279" s="7" t="n"/>
      <c r="V279" s="3" t="inlineStr">
        <is>
          <t>http://alerjln1.alerj.rj.gov.br/scpro2327.nsf/18c1dd68f96be3e7832566ec0018d833/00b217421106748d032589740060394c?OpenDocument</t>
        </is>
      </c>
      <c r="W279" s="3">
        <f>RIGHT(C279, 4)</f>
        <v/>
      </c>
      <c r="X279" s="3">
        <f>LEFT(C279, LEN(C279) - 5)</f>
        <v/>
      </c>
    </row>
    <row r="280" ht="75" customHeight="1" s="79">
      <c r="A280" s="2" t="inlineStr">
        <is>
          <t>Projeto Lei</t>
        </is>
      </c>
      <c r="B280" s="4">
        <f>RIGHT(C280,4)</f>
        <v/>
      </c>
      <c r="C280" s="73" t="inlineStr">
        <is>
          <t>3653/2021</t>
        </is>
      </c>
      <c r="D280" s="2" t="inlineStr">
        <is>
          <t>DISPÕE SOBRE A NOTIFICAÇÃO COMPULSÓRIA DE TODOS OS CASOS CONFIRMADOS DE ESPOROTRICOSE, NO ÂMBITO DO ESTADO DO RIO DE JANEIRO.</t>
        </is>
      </c>
      <c r="E280" s="2" t="inlineStr">
        <is>
          <t>ROSENVERG REIS</t>
        </is>
      </c>
      <c r="F280" s="18" t="inlineStr">
        <is>
          <t>RENATO MIRANDA</t>
        </is>
      </c>
      <c r="G280" s="10" t="inlineStr">
        <is>
          <t>FAVORÁVEL COM A EMENDA DA COMISSÃO DE CONSTITUIÇÃO E JUSTIÇA</t>
        </is>
      </c>
      <c r="H280" s="37" t="inlineStr">
        <is>
          <t>05/03/2026</t>
        </is>
      </c>
      <c r="I280" s="14" t="inlineStr">
        <is>
          <t>8ªRE 
16/12/2025</t>
        </is>
      </c>
      <c r="J280" s="9" t="n">
        <v>45965</v>
      </c>
      <c r="K280" s="9" t="n">
        <v>45974</v>
      </c>
      <c r="L280" s="9" t="n">
        <v>45978</v>
      </c>
      <c r="M280" s="9" t="n">
        <v>46086</v>
      </c>
      <c r="N280" s="4" t="n"/>
      <c r="O280" s="4" t="n"/>
      <c r="P280" s="4" t="n"/>
      <c r="Q280" s="4" t="inlineStr">
        <is>
          <t>Não</t>
        </is>
      </c>
      <c r="R280" s="13" t="n"/>
      <c r="S280" s="4" t="n"/>
      <c r="T280" s="4" t="n"/>
      <c r="U280" s="7" t="n"/>
      <c r="V280" s="3" t="inlineStr">
        <is>
          <t>http://alerjln1.alerj.rj.gov.br/scpro1923.nsf/18c1dd68f96be3e7832566ec0018d833/3bb655cc94be03a50325867f00585a42?OpenDocument</t>
        </is>
      </c>
      <c r="W280" s="3">
        <f>RIGHT(C280, 4)</f>
        <v/>
      </c>
      <c r="X280" s="3">
        <f>LEFT(C280, LEN(C280) - 5)</f>
        <v/>
      </c>
    </row>
    <row r="281" ht="45" customHeight="1" s="79">
      <c r="A281" s="2" t="inlineStr">
        <is>
          <t>Projeto Lei</t>
        </is>
      </c>
      <c r="B281" s="4">
        <f>RIGHT(C281,4)</f>
        <v/>
      </c>
      <c r="C281" s="73" t="inlineStr">
        <is>
          <t>407/2023</t>
        </is>
      </c>
      <c r="D281" s="2" t="inlineStr">
        <is>
          <t>DISPÕE SOBRE A IMPLANTAÇÃO DO PROGRAMA CARTÃO - RAÇÃO VOLUNTÁRIA, NO ÂMBITO DO ESTADO DO RIO DE JANEIRO.</t>
        </is>
      </c>
      <c r="E281" s="2" t="inlineStr">
        <is>
          <t>ROSENVERG REIS</t>
        </is>
      </c>
      <c r="F281" s="18" t="inlineStr">
        <is>
          <t>RENATO MIRANDA</t>
        </is>
      </c>
      <c r="G281" s="10" t="inlineStr">
        <is>
          <t>FAVORÁVEL</t>
        </is>
      </c>
      <c r="H281" s="37" t="inlineStr">
        <is>
          <t>05/03/2026</t>
        </is>
      </c>
      <c r="I281" s="14" t="inlineStr">
        <is>
          <t>8ªRE 
16/12/2025</t>
        </is>
      </c>
      <c r="J281" s="9" t="n">
        <v>45965</v>
      </c>
      <c r="K281" s="9" t="n">
        <v>45974</v>
      </c>
      <c r="L281" s="9" t="n">
        <v>45978</v>
      </c>
      <c r="M281" s="9" t="n">
        <v>46086</v>
      </c>
      <c r="N281" s="4" t="n"/>
      <c r="O281" s="4" t="n"/>
      <c r="P281" s="4" t="n"/>
      <c r="Q281" s="4" t="inlineStr">
        <is>
          <t>Não</t>
        </is>
      </c>
      <c r="R281" s="13" t="n"/>
      <c r="S281" s="4" t="n"/>
      <c r="T281" s="4" t="n"/>
      <c r="U281" s="7" t="n"/>
      <c r="V281" s="3" t="inlineStr">
        <is>
          <t>http://alerjln1.alerj.rj.gov.br/scpro2327.nsf/18c1dd68f96be3e7832566ec0018d833/1a77ff5e91f9432003258972005428b2?OpenDocument</t>
        </is>
      </c>
      <c r="W281" s="3">
        <f>RIGHT(C281, 4)</f>
        <v/>
      </c>
      <c r="X281" s="3">
        <f>LEFT(C281, LEN(C281) - 5)</f>
        <v/>
      </c>
    </row>
    <row r="282" ht="135" customHeight="1" s="79">
      <c r="A282" s="2" t="inlineStr">
        <is>
          <t>Projeto Lei</t>
        </is>
      </c>
      <c r="B282" s="4">
        <f>RIGHT(C282,4)</f>
        <v/>
      </c>
      <c r="C282" s="73" t="inlineStr">
        <is>
          <t>1756/2023</t>
        </is>
      </c>
      <c r="D282" s="2" t="inlineStr">
        <is>
          <t>ALTERA A LEI ESTADUAL Nº 2403 DE 24 DE MAIO DE 1995, ALTERADA PELA ESTADUAL LEI Nº 7048 DE 24 DE JULHO DE 2015, QUE “VEDA A FABRICAÇÃO, A VENDA, A COMERCIALIZAÇÃO, O TRANSPORTE E A DISTRIBUIÇÃO DE BRINQUEDOS, RÉPLICAS OU SIMULACROS DE ARMAS DE FOGO, QUE COM ELAS POSSAM SE CONFUNDIR E INSTITUI A SEMANA DO DESARMAMENTO INFANTIL, NO ÂMBITO DO ESTADO DO RIO DE JANEIRO”.</t>
        </is>
      </c>
      <c r="E282" s="2" t="inlineStr">
        <is>
          <t>CARLINHOS BNH</t>
        </is>
      </c>
      <c r="F282" s="18" t="inlineStr">
        <is>
          <t>RENATO MIRANDA</t>
        </is>
      </c>
      <c r="G282" s="10" t="inlineStr">
        <is>
          <t>FAVORÁVEL COM A EMENDA DA COMISSÃO DE CONSTITUIÇÃO E JUSTIÇA</t>
        </is>
      </c>
      <c r="H282" s="37" t="inlineStr">
        <is>
          <t>05/03/2026</t>
        </is>
      </c>
      <c r="I282" s="14" t="inlineStr">
        <is>
          <t>8ªRE 
16/12/2025</t>
        </is>
      </c>
      <c r="J282" s="9" t="n">
        <v>45965</v>
      </c>
      <c r="K282" s="9" t="n">
        <v>45974</v>
      </c>
      <c r="L282" s="9" t="n">
        <v>45978</v>
      </c>
      <c r="M282" s="9" t="n">
        <v>46086</v>
      </c>
      <c r="N282" s="9" t="n"/>
      <c r="O282" s="9" t="n"/>
      <c r="P282" s="9" t="n"/>
      <c r="Q282" s="4" t="inlineStr">
        <is>
          <t>Não</t>
        </is>
      </c>
      <c r="R282" s="13" t="n"/>
      <c r="S282" s="4" t="n"/>
      <c r="T282" s="4" t="n"/>
      <c r="U282" s="7" t="n"/>
      <c r="V282" s="3" t="inlineStr">
        <is>
          <t>http://alerjln1.alerj.rj.gov.br/scpro2327.nsf/18c1dd68f96be3e7832566ec0018d833/1f7526cbded7d90003258a0c0065bde7?OpenDocument</t>
        </is>
      </c>
      <c r="W282" s="3">
        <f>RIGHT(C282, 4)</f>
        <v/>
      </c>
      <c r="X282" s="3">
        <f>LEFT(C282, LEN(C282) - 5)</f>
        <v/>
      </c>
    </row>
    <row r="283" ht="60" customHeight="1" s="79">
      <c r="A283" s="2" t="inlineStr">
        <is>
          <t>Projeto Lei</t>
        </is>
      </c>
      <c r="B283" s="4">
        <f>RIGHT(C283,4)</f>
        <v/>
      </c>
      <c r="C283" s="73" t="inlineStr">
        <is>
          <t>3419/2024</t>
        </is>
      </c>
      <c r="D283" s="2" t="inlineStr">
        <is>
          <t>DISPÕE SOBRE O RECONHECIMENTO DA ROBÓTICA COMO ESPORTE DE COMPETIÇÃO E DE RELEVÂNCIA EDUCACIONAL NO ÂMBITO DO ESTADO DO RIO DE JANEIRO.</t>
        </is>
      </c>
      <c r="E283" s="2" t="inlineStr">
        <is>
          <t>FELIPINHO RAVIS</t>
        </is>
      </c>
      <c r="F283" s="18" t="inlineStr">
        <is>
          <t>RENATO MIRANDA</t>
        </is>
      </c>
      <c r="G283" s="10" t="inlineStr">
        <is>
          <t>FAVORÁVEL</t>
        </is>
      </c>
      <c r="H283" s="37" t="inlineStr">
        <is>
          <t>05/03/2026</t>
        </is>
      </c>
      <c r="I283" s="14" t="inlineStr">
        <is>
          <t>8ªRE 
16/12/2025</t>
        </is>
      </c>
      <c r="J283" s="9" t="n">
        <v>45965</v>
      </c>
      <c r="K283" s="9" t="n">
        <v>45974</v>
      </c>
      <c r="L283" s="9" t="n">
        <v>45978</v>
      </c>
      <c r="M283" s="9" t="n">
        <v>46086</v>
      </c>
      <c r="N283" s="9" t="n"/>
      <c r="O283" s="9" t="n"/>
      <c r="P283" s="9" t="n"/>
      <c r="Q283" s="4" t="inlineStr">
        <is>
          <t>Não</t>
        </is>
      </c>
      <c r="R283" s="2" t="n"/>
      <c r="S283" s="4" t="n"/>
      <c r="T283" s="4" t="n"/>
      <c r="U283" s="7" t="n"/>
      <c r="V283" s="3" t="inlineStr">
        <is>
          <t>http://alerjln1.alerj.rj.gov.br/scpro2327.nsf/18c1dd68f96be3e7832566ec0018d833/c7096baa707e6f5f03258b0300607e9d?OpenDocument</t>
        </is>
      </c>
      <c r="W283" s="3">
        <f>RIGHT(C283, 4)</f>
        <v/>
      </c>
      <c r="X283" s="3">
        <f>LEFT(C283, LEN(C283) - 5)</f>
        <v/>
      </c>
    </row>
    <row r="284" ht="105" customHeight="1" s="79">
      <c r="A284" s="2" t="inlineStr">
        <is>
          <t>Projeto Lei</t>
        </is>
      </c>
      <c r="B284" s="4">
        <f>RIGHT(C284,4)</f>
        <v/>
      </c>
      <c r="C284" s="73" t="inlineStr">
        <is>
          <t>4007/2024</t>
        </is>
      </c>
      <c r="D284" s="2" t="inlineStr">
        <is>
          <t>ESTABELECE DIRETRIZES PARA A FIXAÇÃO  DE SINALIZADORES QUE IDENTIFIQUEM A PRESENÇA DE PESSOAS COM ESPECTRO AUTISTA – TEA EM QUARTOS OU ENFERMARIAS DE ESTABELECIMENTOS HOSPITALARES, EM CASO DE INTERNAÇÃO, NO ÂMBITO DO ESTADO DO RIO DE JANEIRO, E DÁ OUTRAS PROVIDÊNCIAS.</t>
        </is>
      </c>
      <c r="E284" s="2" t="inlineStr">
        <is>
          <t>BRAZAO</t>
        </is>
      </c>
      <c r="F284" s="18" t="inlineStr">
        <is>
          <t>RENATO MIRANDA</t>
        </is>
      </c>
      <c r="G284" s="10" t="inlineStr">
        <is>
          <t>FAVORÁVEL COM AS EMENDAS DA COMISSÃO DE CONSTITUIÇÃO E JUSTIÇA</t>
        </is>
      </c>
      <c r="H284" s="37" t="inlineStr">
        <is>
          <t>05/03/2026</t>
        </is>
      </c>
      <c r="I284" s="14" t="inlineStr">
        <is>
          <t>8ªRE 
16/12/2025</t>
        </is>
      </c>
      <c r="J284" s="9" t="n">
        <v>45967</v>
      </c>
      <c r="K284" s="9" t="n">
        <v>45974</v>
      </c>
      <c r="L284" s="9" t="n">
        <v>45978</v>
      </c>
      <c r="M284" s="9" t="n">
        <v>46086</v>
      </c>
      <c r="N284" s="4" t="n"/>
      <c r="O284" s="4" t="n"/>
      <c r="P284" s="4" t="n"/>
      <c r="Q284" s="4" t="inlineStr">
        <is>
          <t>Não</t>
        </is>
      </c>
      <c r="R284" s="13" t="n"/>
      <c r="S284" s="4" t="n"/>
      <c r="T284" s="4" t="n"/>
      <c r="U284" s="7" t="n"/>
      <c r="V284" s="3" t="inlineStr">
        <is>
          <t>http://alerjln1.alerj.rj.gov.br/scpro2327.nsf/18c1dd68f96be3e7832566ec0018d833/c4062086244fc1c503258b790064d859?OpenDocument</t>
        </is>
      </c>
      <c r="W284" s="3">
        <f>RIGHT(C284, 4)</f>
        <v/>
      </c>
      <c r="X284" s="3">
        <f>LEFT(C284, LEN(C284) - 5)</f>
        <v/>
      </c>
    </row>
    <row r="285" ht="75" customHeight="1" s="79">
      <c r="A285" s="2" t="inlineStr">
        <is>
          <t>Projeto Lei</t>
        </is>
      </c>
      <c r="B285" s="4">
        <f>RIGHT(C285,4)</f>
        <v/>
      </c>
      <c r="C285" s="73" t="inlineStr">
        <is>
          <t>EP 4209/2021</t>
        </is>
      </c>
      <c r="D285" s="2" t="inlineStr">
        <is>
          <t>DISPÕE SOBRE A IMPLEMENTAÇÃO DO PROGRAMA “TATUANDO PELA VIDA” NO SISTEMA DE SAÚDE DO ESTADO DO RIO DE JANEIRO, QUE POSSUAM SERVIÇOS DE SÁUDE RELACIONADOS AO CÂNCER E AO TRATAMENTO DE QUEIMADURAS.</t>
        </is>
      </c>
      <c r="E285" s="2" t="inlineStr">
        <is>
          <t>MARCELO DINO</t>
        </is>
      </c>
      <c r="F285" s="18" t="inlineStr">
        <is>
          <t>ZEIDAN</t>
        </is>
      </c>
      <c r="G285" s="10" t="n"/>
      <c r="H285" s="37" t="n"/>
      <c r="I285" s="14" t="n"/>
      <c r="J285" s="9" t="n">
        <v>45974</v>
      </c>
      <c r="K285" s="9" t="n">
        <v>46062</v>
      </c>
      <c r="L285" s="9" t="n"/>
      <c r="M285" s="4" t="n"/>
      <c r="N285" s="4" t="n"/>
      <c r="O285" s="4" t="n"/>
      <c r="P285" s="4" t="n"/>
      <c r="Q285" s="4" t="inlineStr">
        <is>
          <t>Com Relator</t>
        </is>
      </c>
      <c r="R285" s="13" t="n"/>
      <c r="S285" s="4" t="n"/>
      <c r="T285" s="4" t="n"/>
      <c r="U285" s="7" t="n"/>
      <c r="V285" s="3" t="inlineStr">
        <is>
          <t>http://alerjln1.alerj.rj.gov.br/scpro1923.nsf/18c1dd68f96be3e7832566ec0018d833/6facdabccc844f29032586db00598a17?OpenDocument</t>
        </is>
      </c>
      <c r="W285" s="3">
        <f>RIGHT(C285, 4)</f>
        <v/>
      </c>
      <c r="X285" s="3">
        <f>LEFT(C285, LEN(C285) - 5)</f>
        <v/>
      </c>
    </row>
    <row r="286" ht="45" customHeight="1" s="79">
      <c r="A286" s="2" t="inlineStr">
        <is>
          <t>Projeto Lei</t>
        </is>
      </c>
      <c r="B286" s="4">
        <f>RIGHT(C286,4)</f>
        <v/>
      </c>
      <c r="C286" s="73" t="inlineStr">
        <is>
          <t>1412/2023</t>
        </is>
      </c>
      <c r="D286" s="2" t="inlineStr">
        <is>
          <t>INSTITUI A CAMPANHA CHECK-UP FEMININO PARA ORIENTAÇÃO E PREVENÇÃO DE DOENÇAS NO ESTADO DO RIO DE JANEIRO E DÁ OUTRAS PROVIDÊNCIAS.</t>
        </is>
      </c>
      <c r="E286" s="2" t="inlineStr">
        <is>
          <t>FELIPINHO RAVIS</t>
        </is>
      </c>
      <c r="F286" s="18" t="inlineStr">
        <is>
          <t>ZEIDAN</t>
        </is>
      </c>
      <c r="G286" s="10" t="n"/>
      <c r="H286" s="37" t="n"/>
      <c r="I286" s="14" t="n"/>
      <c r="J286" s="9" t="n">
        <v>45974</v>
      </c>
      <c r="K286" s="9" t="n">
        <v>46062</v>
      </c>
      <c r="L286" s="9" t="n"/>
      <c r="M286" s="4" t="n"/>
      <c r="N286" s="4" t="n"/>
      <c r="O286" s="4" t="n"/>
      <c r="P286" s="4" t="n"/>
      <c r="Q286" s="4" t="inlineStr">
        <is>
          <t>Com Relator</t>
        </is>
      </c>
      <c r="R286" s="13" t="n"/>
      <c r="S286" s="4" t="n"/>
      <c r="T286" s="4" t="n"/>
      <c r="U286" s="7" t="n"/>
      <c r="V286" s="3" t="inlineStr">
        <is>
          <t>http://alerjln1.alerj.rj.gov.br/scpro2327.nsf/18c1dd68f96be3e7832566ec0018d833/eebeac140ef5ea92032589d50049407f?OpenDocument</t>
        </is>
      </c>
      <c r="W286" s="3">
        <f>RIGHT(C286, 4)</f>
        <v/>
      </c>
      <c r="X286" s="3">
        <f>LEFT(C286, LEN(C286) - 5)</f>
        <v/>
      </c>
    </row>
    <row r="287" ht="45" customHeight="1" s="79">
      <c r="A287" s="2" t="inlineStr">
        <is>
          <t>Projeto Lei</t>
        </is>
      </c>
      <c r="B287" s="4">
        <f>RIGHT(C287,4)</f>
        <v/>
      </c>
      <c r="C287" s="73" t="inlineStr">
        <is>
          <t>3392/2024</t>
        </is>
      </c>
      <c r="D287" s="2" t="inlineStr">
        <is>
          <t>INSTITUI A POLÍTICA ESTADUAL DE ATENÇÃO INTEGRAL ÀS DOENÇAS RESPIRATÓRIAS, NO ÂMBITO DO ESTADO DO RIO DE JANEIRO.</t>
        </is>
      </c>
      <c r="E287" s="2" t="inlineStr">
        <is>
          <t>RENATO MIRANDA</t>
        </is>
      </c>
      <c r="F287" s="18" t="inlineStr">
        <is>
          <t>ZEIDAN</t>
        </is>
      </c>
      <c r="G287" s="10" t="n"/>
      <c r="H287" s="37" t="n"/>
      <c r="I287" s="14" t="n"/>
      <c r="J287" s="9" t="n">
        <v>45974</v>
      </c>
      <c r="K287" s="9" t="n">
        <v>46062</v>
      </c>
      <c r="L287" s="9" t="n"/>
      <c r="M287" s="4" t="n"/>
      <c r="N287" s="4" t="n"/>
      <c r="O287" s="4" t="n"/>
      <c r="P287" s="4" t="n"/>
      <c r="Q287" s="4" t="inlineStr">
        <is>
          <t>Com Relator</t>
        </is>
      </c>
      <c r="R287" s="13" t="n"/>
      <c r="S287" s="4" t="n"/>
      <c r="T287" s="4" t="n"/>
      <c r="U287" s="7" t="n"/>
      <c r="V287" s="3" t="inlineStr">
        <is>
          <t>http://alerjln1.alerj.rj.gov.br/scpro2327.nsf/18c1dd68f96be3e7832566ec0018d833/b5a873759aadd1ea03258b020056027a?OpenDocument</t>
        </is>
      </c>
      <c r="W287" s="3">
        <f>RIGHT(C287, 4)</f>
        <v/>
      </c>
      <c r="X287" s="3">
        <f>LEFT(C287, LEN(C287) - 5)</f>
        <v/>
      </c>
    </row>
    <row r="288" ht="60" customHeight="1" s="79">
      <c r="A288" s="2" t="inlineStr">
        <is>
          <t>Projeto Lei</t>
        </is>
      </c>
      <c r="B288" s="4" t="n">
        <v>1</v>
      </c>
      <c r="C288" s="73" t="inlineStr">
        <is>
          <t>3718/2024</t>
        </is>
      </c>
      <c r="D288" s="2" t="inlineStr">
        <is>
          <t>INSTITUI O PROGRAMA DE AMPLIAÇÃO DA OFERTA DE EXAMES NAS CLÍNICAS PÚBLICAS ESPECIALIZADAS NA SAÚDE DA MULHER NO ÂMBITO DO ESTADO DO RIO DE JANEIRO.</t>
        </is>
      </c>
      <c r="E288" s="2" t="inlineStr">
        <is>
          <t>BRAZAO</t>
        </is>
      </c>
      <c r="F288" s="18" t="inlineStr">
        <is>
          <t>ANDRÉ CORRÊA</t>
        </is>
      </c>
      <c r="G288" s="10" t="n"/>
      <c r="H288" s="37" t="n"/>
      <c r="I288" s="14" t="inlineStr">
        <is>
          <t>PRÓXIMA</t>
        </is>
      </c>
      <c r="J288" s="9" t="n">
        <v>45974</v>
      </c>
      <c r="K288" s="9" t="n">
        <v>46099</v>
      </c>
      <c r="L288" s="9" t="n">
        <v>46100</v>
      </c>
      <c r="M288" s="4" t="n"/>
      <c r="N288" s="4" t="n"/>
      <c r="O288" s="4" t="n"/>
      <c r="P288" s="4" t="n"/>
      <c r="Q288" s="4" t="inlineStr">
        <is>
          <t>Com Relator</t>
        </is>
      </c>
      <c r="R288" s="13" t="inlineStr">
        <is>
          <t>Estava com a Zeidan, desde 09/02/2026, porém foi transferido (a pedido) para o Presidente</t>
        </is>
      </c>
      <c r="S288" s="4" t="n"/>
      <c r="T288" s="4" t="n"/>
      <c r="U288" s="7" t="n"/>
      <c r="V288" s="3" t="inlineStr">
        <is>
          <t>http://alerjln1.alerj.rj.gov.br/scpro2327.nsf/18c1dd68f96be3e7832566ec0018d833/a306df4daa8975fc03258b390047aced?OpenDocument</t>
        </is>
      </c>
      <c r="W288" s="3">
        <f>RIGHT(C288, 4)</f>
        <v/>
      </c>
      <c r="X288" s="3">
        <f>LEFT(C288, LEN(C288) - 5)</f>
        <v/>
      </c>
    </row>
    <row r="289" ht="30" customHeight="1" s="79">
      <c r="A289" s="2" t="inlineStr">
        <is>
          <t>Projeto Lei</t>
        </is>
      </c>
      <c r="B289" s="4">
        <f>RIGHT(C289,4)</f>
        <v/>
      </c>
      <c r="C289" s="2" t="inlineStr">
        <is>
          <t>EP 4066/2021</t>
        </is>
      </c>
      <c r="D289" s="2" t="inlineStr">
        <is>
          <t>INSTITUI O PROGRAMA “JOVEM DOADOR” NAS ESCOLAS ESTADUAIS DO ESTADO DO RIO DE JANEIRO</t>
        </is>
      </c>
      <c r="E289" s="2" t="inlineStr">
        <is>
          <t>MARCELO DINO</t>
        </is>
      </c>
      <c r="F289" s="18" t="inlineStr">
        <is>
          <t>ZEIDAN</t>
        </is>
      </c>
      <c r="G289" s="10" t="n"/>
      <c r="H289" s="37" t="n"/>
      <c r="I289" s="14" t="n"/>
      <c r="J289" s="9" t="n">
        <v>45985</v>
      </c>
      <c r="K289" s="9" t="n">
        <v>46062</v>
      </c>
      <c r="L289" s="9" t="n"/>
      <c r="M289" s="4" t="n"/>
      <c r="N289" s="4" t="n"/>
      <c r="O289" s="4" t="n"/>
      <c r="P289" s="4" t="n"/>
      <c r="Q289" s="4" t="inlineStr">
        <is>
          <t>Com Relator</t>
        </is>
      </c>
      <c r="R289" s="13" t="n"/>
      <c r="S289" s="4" t="n"/>
      <c r="T289" s="4" t="n"/>
      <c r="U289" s="7" t="n"/>
      <c r="V289" s="3" t="inlineStr">
        <is>
          <t>http://alerjln1.alerj.rj.gov.br/scpro1923.nsf/b6d41cbe40ad05e2832566ec0018d81b/7d1abddebac3bcf5032587260070fc74?OpenDocument</t>
        </is>
      </c>
      <c r="W289" s="3">
        <f>RIGHT(C289, 4)</f>
        <v/>
      </c>
      <c r="X289" s="3">
        <f>LEFT(C289, LEN(C289) - 5)</f>
        <v/>
      </c>
    </row>
    <row r="290" ht="30" customHeight="1" s="79">
      <c r="A290" s="2" t="inlineStr">
        <is>
          <t>Projeto Lei</t>
        </is>
      </c>
      <c r="B290" s="4">
        <f>RIGHT(C290,4)</f>
        <v/>
      </c>
      <c r="C290" s="2" t="inlineStr">
        <is>
          <t>5631/2022</t>
        </is>
      </c>
      <c r="D290" s="2" t="inlineStr">
        <is>
          <t>DISPÕE SOBRE CAMPANHA ESTADUAL DE COLETA DE DNA DE PESSOAS VIVAS SEM IDENTIFICAÇÃO.</t>
        </is>
      </c>
      <c r="E290" s="2" t="inlineStr">
        <is>
          <t>MARTHA ROCHA</t>
        </is>
      </c>
      <c r="F290" s="18" t="inlineStr">
        <is>
          <t>ZEIDAN</t>
        </is>
      </c>
      <c r="G290" s="10" t="n"/>
      <c r="H290" s="37" t="n"/>
      <c r="I290" s="14" t="n"/>
      <c r="J290" s="9" t="n">
        <v>45985</v>
      </c>
      <c r="K290" s="9" t="n">
        <v>46062</v>
      </c>
      <c r="L290" s="9" t="n"/>
      <c r="M290" s="4" t="n"/>
      <c r="N290" s="4" t="n"/>
      <c r="O290" s="4" t="n"/>
      <c r="P290" s="4" t="n"/>
      <c r="Q290" s="4" t="inlineStr">
        <is>
          <t>Com Relator</t>
        </is>
      </c>
      <c r="R290" s="13" t="n"/>
      <c r="S290" s="4" t="n"/>
      <c r="T290" s="4" t="n"/>
      <c r="U290" s="7" t="n"/>
      <c r="V290" s="3" t="inlineStr">
        <is>
          <t>http://alerjln1.alerj.rj.gov.br/scpro1923.nsf/18c1dd68f96be3e7832566ec0018d833/b292689ddd324aa50325880d00529281?OpenDocument</t>
        </is>
      </c>
      <c r="W290" s="3">
        <f>RIGHT(C290, 4)</f>
        <v/>
      </c>
      <c r="X290" s="3">
        <f>LEFT(C290, LEN(C290) - 5)</f>
        <v/>
      </c>
    </row>
    <row r="291" ht="60" customHeight="1" s="79">
      <c r="A291" s="2" t="inlineStr">
        <is>
          <t>Projeto Lei</t>
        </is>
      </c>
      <c r="B291" s="4">
        <f>RIGHT(C291,4)</f>
        <v/>
      </c>
      <c r="C291" s="2" t="inlineStr">
        <is>
          <t>401/2023</t>
        </is>
      </c>
      <c r="D291" s="2" t="inlineStr">
        <is>
          <t>INSTITUI O PROGRAMA DE CONSCIENTIZAÇÃO E PREVENÇÃO CONTRA O ETARISMO NAS UNIDADES DE ENSINO DA REDE PÚBLICA DO ESTADO DO RIO DE JANEIRO.</t>
        </is>
      </c>
      <c r="E291" s="2" t="inlineStr">
        <is>
          <t>LUIZ CLAUDIO RIBEIRO</t>
        </is>
      </c>
      <c r="F291" s="18" t="inlineStr">
        <is>
          <t>ZEIDAN</t>
        </is>
      </c>
      <c r="G291" s="10" t="n"/>
      <c r="H291" s="37" t="n"/>
      <c r="I291" s="14" t="n"/>
      <c r="J291" s="9" t="n">
        <v>45985</v>
      </c>
      <c r="K291" s="9" t="n">
        <v>46062</v>
      </c>
      <c r="L291" s="9" t="n"/>
      <c r="M291" s="4" t="n"/>
      <c r="N291" s="4" t="n"/>
      <c r="O291" s="4" t="n"/>
      <c r="P291" s="4" t="n"/>
      <c r="Q291" s="4" t="inlineStr">
        <is>
          <t>Com Relator</t>
        </is>
      </c>
      <c r="R291" s="13" t="n"/>
      <c r="S291" s="4" t="n"/>
      <c r="T291" s="4" t="n"/>
      <c r="U291" s="7" t="n"/>
      <c r="V291" s="3" t="inlineStr">
        <is>
          <t>http://alerjln1.alerj.rj.gov.br/scpro2327.nsf/18c1dd68f96be3e7832566ec0018d833/16cd4595ba786d5c03258972004d6b55?OpenDocument</t>
        </is>
      </c>
      <c r="W291" s="3">
        <f>RIGHT(C291, 4)</f>
        <v/>
      </c>
      <c r="X291" s="3">
        <f>LEFT(C291, LEN(C291) - 5)</f>
        <v/>
      </c>
    </row>
    <row r="292" ht="30" customHeight="1" s="79">
      <c r="A292" s="2" t="inlineStr">
        <is>
          <t>Projeto Lei</t>
        </is>
      </c>
      <c r="B292" s="4" t="n"/>
      <c r="C292" s="2" t="inlineStr">
        <is>
          <t>598/2023</t>
        </is>
      </c>
      <c r="D292" s="2" t="inlineStr">
        <is>
          <t>ALTERA O INCISO XV DO ARTIGO 2º DA LEI N.º 9.295 DE 2021.</t>
        </is>
      </c>
      <c r="E292" s="2" t="inlineStr">
        <is>
          <t>RODRIGO AMORIM</t>
        </is>
      </c>
      <c r="F292" s="18" t="inlineStr">
        <is>
          <t>ZEIDAN</t>
        </is>
      </c>
      <c r="G292" s="10" t="n"/>
      <c r="H292" s="37" t="n"/>
      <c r="I292" s="14" t="n"/>
      <c r="J292" s="9" t="n">
        <v>45985</v>
      </c>
      <c r="K292" s="9" t="n">
        <v>46062</v>
      </c>
      <c r="L292" s="9" t="n"/>
      <c r="M292" s="4" t="n"/>
      <c r="N292" s="4" t="n"/>
      <c r="O292" s="4" t="n"/>
      <c r="P292" s="4" t="n"/>
      <c r="Q292" s="4" t="inlineStr">
        <is>
          <t>Com Relator</t>
        </is>
      </c>
      <c r="R292" s="13" t="n"/>
      <c r="S292" s="4" t="n"/>
      <c r="T292" s="4" t="n"/>
      <c r="U292" s="7" t="n"/>
      <c r="V292" s="3" t="inlineStr">
        <is>
          <t>http://alerjln1.alerj.rj.gov.br/scpro2327.nsf/18c1dd68f96be3e7832566ec0018d833/5d797cd07f204bd2032589810055b68b?OpenDocument</t>
        </is>
      </c>
      <c r="W292" s="3">
        <f>RIGHT(C292, 4)</f>
        <v/>
      </c>
      <c r="X292" s="3">
        <f>LEFT(C292, LEN(C292) - 5)</f>
        <v/>
      </c>
    </row>
    <row r="293" ht="60" customHeight="1" s="79">
      <c r="A293" s="2" t="inlineStr">
        <is>
          <t>Projeto Lei</t>
        </is>
      </c>
      <c r="B293" s="4" t="n"/>
      <c r="C293" s="2" t="inlineStr">
        <is>
          <t>1708/2023</t>
        </is>
      </c>
      <c r="D293" s="2" t="inlineStr">
        <is>
          <t>ALTERA A LEI ESTADUAL Nº 1340, DE 23 DE AGOSTO DE 1988, QUE “DISPÕE SOBRE A CRIAÇÃO DE DELEGACIA ESPECIALIZADA DE ATENDIMENTO À MULHER”, NA FORMA EM QUE MENCIONA.</t>
        </is>
      </c>
      <c r="E293" s="2" t="inlineStr">
        <is>
          <t>ROSENVERG REIS</t>
        </is>
      </c>
      <c r="F293" s="18" t="inlineStr">
        <is>
          <t>ZEIDAN</t>
        </is>
      </c>
      <c r="G293" s="10" t="n"/>
      <c r="H293" s="37" t="n"/>
      <c r="I293" s="14" t="n"/>
      <c r="J293" s="9" t="n">
        <v>45985</v>
      </c>
      <c r="K293" s="9" t="n">
        <v>46062</v>
      </c>
      <c r="L293" s="9" t="n"/>
      <c r="M293" s="4" t="n"/>
      <c r="N293" s="4" t="n"/>
      <c r="O293" s="4" t="n"/>
      <c r="P293" s="4" t="n"/>
      <c r="Q293" s="4" t="inlineStr">
        <is>
          <t>Com Relator</t>
        </is>
      </c>
      <c r="R293" s="13" t="n"/>
      <c r="S293" s="4" t="n"/>
      <c r="T293" s="4" t="n"/>
      <c r="U293" s="7" t="n"/>
      <c r="V293" s="3" t="inlineStr">
        <is>
          <t>http://alerjln1.alerj.rj.gov.br/scpro2327.nsf/18c1dd68f96be3e7832566ec0018d833/259430fd2610e43703258a06005f9919?OpenDocument</t>
        </is>
      </c>
      <c r="W293" s="3">
        <f>RIGHT(C293, 4)</f>
        <v/>
      </c>
      <c r="X293" s="3">
        <f>LEFT(C293, LEN(C293) - 5)</f>
        <v/>
      </c>
    </row>
    <row r="294" ht="75" customHeight="1" s="79">
      <c r="A294" s="2" t="inlineStr">
        <is>
          <t>Projeto Lei</t>
        </is>
      </c>
      <c r="B294" s="4" t="n"/>
      <c r="C294" s="2" t="inlineStr">
        <is>
          <t>1737/2023</t>
        </is>
      </c>
      <c r="D294" s="2" t="inlineStr">
        <is>
          <t>INSTITUI O PROGRAMA PARA ATENDIMENTO DE ÓRFÃOS DE SERVIDORES PÚBLICOS INTEGRANTE DAS CARREIRAS DA SEGURANÇA PÚBLICA, MORTOS EM SERVIÇO OU EM RAZÃO DELE NO ESTADO DO RIO DE JANEIRO.</t>
        </is>
      </c>
      <c r="E294" s="2" t="inlineStr">
        <is>
          <t>RODRIGO BACELLAR</t>
        </is>
      </c>
      <c r="F294" s="18" t="inlineStr">
        <is>
          <t>ZEIDAN</t>
        </is>
      </c>
      <c r="G294" s="10" t="n"/>
      <c r="H294" s="37" t="n"/>
      <c r="I294" s="14" t="n"/>
      <c r="J294" s="9" t="n">
        <v>45985</v>
      </c>
      <c r="K294" s="9" t="n">
        <v>46062</v>
      </c>
      <c r="L294" s="9" t="n"/>
      <c r="M294" s="9" t="n"/>
      <c r="N294" s="9" t="n"/>
      <c r="O294" s="9" t="n"/>
      <c r="P294" s="9" t="n"/>
      <c r="Q294" s="4" t="inlineStr">
        <is>
          <t>Com Relator</t>
        </is>
      </c>
      <c r="R294" s="13" t="n"/>
      <c r="S294" s="4" t="n"/>
      <c r="T294" s="4" t="n"/>
      <c r="U294" s="7" t="n"/>
      <c r="V294" s="3" t="inlineStr">
        <is>
          <t>http://alerjln1.alerj.rj.gov.br/scpro2327.nsf/18c1dd68f96be3e7832566ec0018d833/ffc63e2626b7668003258a0c005c84b3?OpenDocument</t>
        </is>
      </c>
      <c r="W294" s="3">
        <f>RIGHT(C294, 4)</f>
        <v/>
      </c>
      <c r="X294" s="3">
        <f>LEFT(C294, LEN(C294) - 5)</f>
        <v/>
      </c>
    </row>
    <row r="295" ht="90" customHeight="1" s="79">
      <c r="A295" s="2" t="inlineStr">
        <is>
          <t>Projeto Lei</t>
        </is>
      </c>
      <c r="B295" s="4" t="n"/>
      <c r="C295" s="2" t="inlineStr">
        <is>
          <t>2623/2023</t>
        </is>
      </c>
      <c r="D295" s="2" t="inlineStr">
        <is>
          <t>INSTITUI O PROGRAMA DE APADRINHAMENTO PARA CRIANÇAS E ADOLESCENTES NO ESTADO DO RIO DE JANEIRO, VISANDO PROMOVER RELAÇÕES POSITIVAS E ORIENTAÇÃO INDIVIDUALIZADA PARA O DESENVOLVIMENTO INTEGRAL DAS CRIANÇAS EM SITUAÇÕES DESAFIADORAS.</t>
        </is>
      </c>
      <c r="E295" s="2" t="inlineStr">
        <is>
          <t>VINICIUS COZZOLINO</t>
        </is>
      </c>
      <c r="F295" s="18" t="inlineStr">
        <is>
          <t>ZEIDAN</t>
        </is>
      </c>
      <c r="G295" s="10" t="n"/>
      <c r="H295" s="37" t="n"/>
      <c r="I295" s="14" t="n"/>
      <c r="J295" s="9" t="n">
        <v>45985</v>
      </c>
      <c r="K295" s="9" t="n">
        <v>46062</v>
      </c>
      <c r="L295" s="9" t="n"/>
      <c r="M295" s="9" t="n"/>
      <c r="N295" s="9" t="n"/>
      <c r="O295" s="9" t="n"/>
      <c r="P295" s="9" t="n"/>
      <c r="Q295" s="4" t="inlineStr">
        <is>
          <t>Com Relator</t>
        </is>
      </c>
      <c r="R295" s="2" t="n"/>
      <c r="S295" s="4" t="n"/>
      <c r="T295" s="4" t="n"/>
      <c r="U295" s="7" t="n"/>
      <c r="V295" s="3" t="inlineStr">
        <is>
          <t>http://alerjln1.alerj.rj.gov.br/scpro2327.nsf/18c1dd68f96be3e7832566ec0018d833/a7daabfea71b1a5003258a4b0061096c?OpenDocument</t>
        </is>
      </c>
      <c r="W295" s="3">
        <f>RIGHT(C295, 4)</f>
        <v/>
      </c>
      <c r="X295" s="3">
        <f>LEFT(C295, LEN(C295) - 5)</f>
        <v/>
      </c>
    </row>
    <row r="296" ht="45" customHeight="1" s="79">
      <c r="A296" s="2" t="inlineStr">
        <is>
          <t>Projeto Lei</t>
        </is>
      </c>
      <c r="B296" s="4" t="n"/>
      <c r="C296" s="2" t="inlineStr">
        <is>
          <t>3393/2024</t>
        </is>
      </c>
      <c r="D296" s="2" t="inlineStr">
        <is>
          <t>DISPÕE SOBRE TRANSFERÊNCIA E MATRÍCULA PARA CRIANÇAS E ADOLESCENTES EM MEDIDA DE PROTEÇÃO DE ACOLHIMENTO</t>
        </is>
      </c>
      <c r="E296" s="2" t="inlineStr">
        <is>
          <t>MUNIR NETO</t>
        </is>
      </c>
      <c r="F296" s="18" t="inlineStr">
        <is>
          <t>ZEIDAN</t>
        </is>
      </c>
      <c r="G296" s="10" t="n"/>
      <c r="H296" s="37" t="n"/>
      <c r="I296" s="14" t="n"/>
      <c r="J296" s="9" t="n">
        <v>45985</v>
      </c>
      <c r="K296" s="9" t="n">
        <v>46062</v>
      </c>
      <c r="L296" s="9" t="n"/>
      <c r="M296" s="4" t="n"/>
      <c r="N296" s="4" t="n"/>
      <c r="O296" s="4" t="n"/>
      <c r="P296" s="4" t="n"/>
      <c r="Q296" s="4" t="inlineStr">
        <is>
          <t>Com Relator</t>
        </is>
      </c>
      <c r="R296" s="13" t="n"/>
      <c r="S296" s="4" t="n"/>
      <c r="T296" s="4" t="n"/>
      <c r="U296" s="7" t="n"/>
      <c r="V296" s="3" t="inlineStr">
        <is>
          <t>http://alerjln1.alerj.rj.gov.br/scpro2327.nsf/18c1dd68f96be3e7832566ec0018d833/82056bd6e5ba7e8303258b0000549cc2?OpenDocument</t>
        </is>
      </c>
      <c r="W296" s="3">
        <f>RIGHT(C296, 4)</f>
        <v/>
      </c>
      <c r="X296" s="3">
        <f>LEFT(C296, LEN(C296) - 5)</f>
        <v/>
      </c>
    </row>
    <row r="297" ht="90" customHeight="1" s="79">
      <c r="A297" s="2" t="inlineStr">
        <is>
          <t>Projeto Lei</t>
        </is>
      </c>
      <c r="B297" s="4" t="n"/>
      <c r="C297" s="2" t="inlineStr">
        <is>
          <t>4639/2025</t>
        </is>
      </c>
      <c r="D297" s="2" t="inlineStr">
        <is>
          <t>DISPÕE SOBRE A OBRIGATORIEDADE DOS ESTABELECIMENTOS DE SAÚDE, PÚBLICOS OU PRIVADOS, DE COMUNICAR O CONSELHO TUTELAR NOS CASOS DE ALTA HOSPITALAR DE RECÉM-NASCIDOS SEM A EMISSÃO DA CERTIDÃO DE NASCIMENTO, E DÁ OUTRAS PROVIDÊNCIAS.</t>
        </is>
      </c>
      <c r="E297" s="2" t="inlineStr">
        <is>
          <t>VINICIUS COZZOLINO</t>
        </is>
      </c>
      <c r="F297" s="18" t="inlineStr">
        <is>
          <t>ZEIDAN</t>
        </is>
      </c>
      <c r="G297" s="10" t="n"/>
      <c r="H297" s="37" t="n"/>
      <c r="I297" s="14" t="n"/>
      <c r="J297" s="9" t="n">
        <v>45985</v>
      </c>
      <c r="K297" s="9" t="n">
        <v>46062</v>
      </c>
      <c r="L297" s="9" t="n"/>
      <c r="M297" s="4" t="n"/>
      <c r="N297" s="4" t="n"/>
      <c r="O297" s="4" t="n"/>
      <c r="P297" s="4" t="n"/>
      <c r="Q297" s="4" t="inlineStr">
        <is>
          <t>Com Relator</t>
        </is>
      </c>
      <c r="R297" s="13" t="n"/>
      <c r="S297" s="4" t="n"/>
      <c r="T297" s="4" t="n"/>
      <c r="U297" s="7" t="n"/>
      <c r="V297" s="3" t="inlineStr">
        <is>
          <t>http://alerjln1.alerj.rj.gov.br/scpro2327.nsf/18c1dd68f96be3e7832566ec0018d833/a61b191cc198a84a03258c0e00769ef1?OpenDocument</t>
        </is>
      </c>
      <c r="W297" s="3">
        <f>RIGHT(C297, 4)</f>
        <v/>
      </c>
      <c r="X297" s="3">
        <f>LEFT(C297, LEN(C297) - 5)</f>
        <v/>
      </c>
    </row>
    <row r="298" ht="60" customHeight="1" s="79">
      <c r="A298" s="2" t="inlineStr">
        <is>
          <t>Projeto Lei</t>
        </is>
      </c>
      <c r="B298" s="4" t="n"/>
      <c r="C298" s="2" t="inlineStr">
        <is>
          <t>3738/2021</t>
        </is>
      </c>
      <c r="D298" s="2" t="inlineStr">
        <is>
          <t>DISPÕE SOBRE A COMUNICAÇÃO DA NÃO OBRIGATORIEDADE DE INFORMAR O NÚMERO DE DOCUMENTOS NA REALIZAÇÃO DE COMPRA EM ESTABELECIMENTOS COMERCIAIS</t>
        </is>
      </c>
      <c r="E298" s="2" t="inlineStr">
        <is>
          <t>MARTHA ROCHA</t>
        </is>
      </c>
      <c r="F298" s="18" t="inlineStr">
        <is>
          <t>CARLOS MACEDO</t>
        </is>
      </c>
      <c r="G298" s="10" t="inlineStr">
        <is>
          <t>FAVORÁVEL</t>
        </is>
      </c>
      <c r="H298" s="37" t="inlineStr">
        <is>
          <t>11/02/2026</t>
        </is>
      </c>
      <c r="I298" s="14" t="inlineStr">
        <is>
          <t>8ªRE 
16/12/2025</t>
        </is>
      </c>
      <c r="J298" s="9" t="n"/>
      <c r="K298" s="4" t="n"/>
      <c r="L298" s="9" t="n">
        <v>45993</v>
      </c>
      <c r="M298" s="9" t="n">
        <v>46065</v>
      </c>
      <c r="N298" s="4" t="n"/>
      <c r="O298" s="4" t="n"/>
      <c r="P298" s="4" t="n"/>
      <c r="Q298" s="4" t="inlineStr">
        <is>
          <t>Não</t>
        </is>
      </c>
      <c r="R298" s="13" t="n"/>
      <c r="S298" s="4" t="n"/>
      <c r="T298" s="4" t="n"/>
      <c r="U298" s="7" t="n"/>
      <c r="V298" s="3" t="inlineStr">
        <is>
          <t>http://alerjln1.alerj.rj.gov.br/scpro1923.nsf/18c1dd68f96be3e7832566ec0018d833/42a95b27b86a50b003258687005fa85e?OpenDocument</t>
        </is>
      </c>
      <c r="W298" s="3">
        <f>RIGHT(C298, 4)</f>
        <v/>
      </c>
      <c r="X298" s="3">
        <f>LEFT(C298, LEN(C298) - 5)</f>
        <v/>
      </c>
    </row>
    <row r="299" ht="45" customHeight="1" s="79">
      <c r="A299" s="2" t="inlineStr">
        <is>
          <t>Projeto Lei</t>
        </is>
      </c>
      <c r="B299" s="4" t="n"/>
      <c r="C299" s="73" t="inlineStr">
        <is>
          <t>3895/2021</t>
        </is>
      </c>
      <c r="D299" s="2" t="inlineStr">
        <is>
          <t>DISPÕE SOBRE O CADASTRO ÚNICO PARA PROGRAMAS SOCIAIS DO GOVERNO DO ESTADO DO RIO DE JANEIRO – CADÚNICORJ</t>
        </is>
      </c>
      <c r="E299" s="2" t="inlineStr">
        <is>
          <t>MARTHA ROCHA</t>
        </is>
      </c>
      <c r="F299" s="18" t="inlineStr">
        <is>
          <t>ALEXANDRE KNOPLOCH</t>
        </is>
      </c>
      <c r="G299" s="10" t="n"/>
      <c r="H299" s="10" t="n"/>
      <c r="I299" s="4" t="n"/>
      <c r="J299" s="9" t="n">
        <v>45999</v>
      </c>
      <c r="K299" s="9" t="n">
        <v>46168</v>
      </c>
      <c r="L299" s="4" t="n"/>
      <c r="M299" s="4" t="n"/>
      <c r="N299" s="4" t="n"/>
      <c r="O299" s="4" t="n"/>
      <c r="P299" s="4" t="n"/>
      <c r="Q299" s="4" t="inlineStr">
        <is>
          <t>Sim</t>
        </is>
      </c>
      <c r="R299" s="2" t="inlineStr">
        <is>
          <t>Retirei do gab. Do relator Vinícius Cozzolino, relatoria em 26/03/2026, pois mudou a composição da Com.</t>
        </is>
      </c>
      <c r="S299" s="4" t="n"/>
      <c r="T299" s="4" t="n"/>
      <c r="U299" s="7" t="n"/>
      <c r="V299" s="3" t="inlineStr">
        <is>
          <t>http://alerjln1.alerj.rj.gov.br/scpro1923.nsf/18c1dd68f96be3e7832566ec0018d833/862e6816e766f7700325869c005d6f80?OpenDocument</t>
        </is>
      </c>
      <c r="W299" s="3">
        <f>RIGHT(C299, 4)</f>
        <v/>
      </c>
      <c r="X299" s="3">
        <f>LEFT(C299, LEN(C299) - 5)</f>
        <v/>
      </c>
    </row>
    <row r="300" ht="45" customHeight="1" s="79">
      <c r="A300" s="2" t="inlineStr">
        <is>
          <t>Projeto Lei</t>
        </is>
      </c>
      <c r="B300" s="4" t="n"/>
      <c r="C300" s="2" t="inlineStr">
        <is>
          <t>6007/2022</t>
        </is>
      </c>
      <c r="D300" s="2" t="inlineStr">
        <is>
          <t>AUTORIZA O PODER EXECUTIVO A IMPLANTAR POLOS REGIONAIS DE PROTEÇÃO À FAUNA SILVESTRE E DOMÉSTICA E DÁ OUTRAS PROVIDÊNCIAS.</t>
        </is>
      </c>
      <c r="E300" s="2" t="inlineStr">
        <is>
          <t>NOEL DE CARVALHO</t>
        </is>
      </c>
      <c r="F300" s="18" t="inlineStr">
        <is>
          <t>RENATO MIRANDA</t>
        </is>
      </c>
      <c r="G300" s="10" t="n"/>
      <c r="H300" s="10" t="n"/>
      <c r="I300" s="4" t="n"/>
      <c r="J300" s="9" t="n">
        <v>45999</v>
      </c>
      <c r="K300" s="9" t="n">
        <v>46062</v>
      </c>
      <c r="L300" s="4" t="n"/>
      <c r="M300" s="4" t="n"/>
      <c r="N300" s="4" t="n"/>
      <c r="O300" s="4" t="n"/>
      <c r="P300" s="4" t="n"/>
      <c r="Q300" s="4" t="inlineStr">
        <is>
          <t>Com Relator</t>
        </is>
      </c>
      <c r="R300" s="2" t="n"/>
      <c r="S300" s="4" t="n"/>
      <c r="T300" s="4" t="n"/>
      <c r="U300" s="7" t="n"/>
      <c r="V300" s="3" t="inlineStr">
        <is>
          <t>http://alerjln1.alerj.rj.gov.br/scpro1923.nsf/18c1dd68f96be3e7832566ec0018d833/38b6b23f3e302c9b0325884e0053ee49?OpenDocument</t>
        </is>
      </c>
      <c r="W300" s="3">
        <f>RIGHT(C300, 4)</f>
        <v/>
      </c>
      <c r="X300" s="3">
        <f>LEFT(C300, LEN(C300) - 5)</f>
        <v/>
      </c>
    </row>
    <row r="301" ht="45" customHeight="1" s="79">
      <c r="A301" s="2" t="inlineStr">
        <is>
          <t>Projeto Lei</t>
        </is>
      </c>
      <c r="B301" s="4" t="n"/>
      <c r="C301" s="2" t="inlineStr">
        <is>
          <t>73/2023</t>
        </is>
      </c>
      <c r="D301" s="2" t="inlineStr">
        <is>
          <t>INSTITUI A POLÍTICA ESTADUAL DE PREVENÇÃO ÀS REMOÇÕES E OS DESPEJOS NO ESTADO DO RIO DE JANEIRO, E DÁ OUTRAS PROVIDÊNCIAS.</t>
        </is>
      </c>
      <c r="E301" s="2" t="inlineStr">
        <is>
          <t>VERONICA LIMA</t>
        </is>
      </c>
      <c r="F301" s="18" t="inlineStr">
        <is>
          <t>RENATO MIRANDA</t>
        </is>
      </c>
      <c r="G301" s="10" t="n"/>
      <c r="H301" s="10" t="n"/>
      <c r="I301" s="4" t="n"/>
      <c r="J301" s="9" t="n">
        <v>45999</v>
      </c>
      <c r="K301" s="9" t="n">
        <v>46062</v>
      </c>
      <c r="L301" s="4" t="n"/>
      <c r="M301" s="4" t="n"/>
      <c r="N301" s="4" t="n"/>
      <c r="O301" s="4" t="n"/>
      <c r="P301" s="4" t="n"/>
      <c r="Q301" s="4" t="inlineStr">
        <is>
          <t>Com Relator</t>
        </is>
      </c>
      <c r="R301" s="2" t="n"/>
      <c r="S301" s="4" t="n"/>
      <c r="T301" s="4" t="n"/>
      <c r="U301" s="7" t="n"/>
      <c r="V301" s="3" t="inlineStr">
        <is>
          <t>http://alerjln1.alerj.rj.gov.br/scpro2327.nsf/18c1dd68f96be3e7832566ec0018d833/84f5930dca65d797032589490069f9f6?OpenDocument</t>
        </is>
      </c>
      <c r="W301" s="3">
        <f>RIGHT(C301, 4)</f>
        <v/>
      </c>
      <c r="X301" s="3">
        <f>LEFT(C301, LEN(C301) - 5)</f>
        <v/>
      </c>
    </row>
    <row r="302" ht="90" customHeight="1" s="79">
      <c r="A302" s="2" t="inlineStr">
        <is>
          <t>Projeto Lei</t>
        </is>
      </c>
      <c r="B302" s="4" t="n"/>
      <c r="C302" s="2" t="inlineStr">
        <is>
          <t>387/2023</t>
        </is>
      </c>
      <c r="D302" s="2" t="inlineStr">
        <is>
          <t>ESTABELECE CRITÉRIOS E OBRIGAÇÕES PARA FIXAÇÃO DE MAPAS DAS REDES DE TRANSPORTES METROPOLITANOS DE MÉDIA E ALTA CAPACIDADE, INCLUINDO OS MAPAS DAS REDES METROVIÁRIAS E FERROVIÁRIAS NO ESTADO DO RIO DE JANEIRO E DÁ OUTRAS PROVIDÊNCIAS.</t>
        </is>
      </c>
      <c r="E302" s="2" t="inlineStr">
        <is>
          <t>CLAUDIO CAIADO</t>
        </is>
      </c>
      <c r="F302" s="18" t="inlineStr">
        <is>
          <t>RENATO MIRANDA</t>
        </is>
      </c>
      <c r="G302" s="10" t="n"/>
      <c r="H302" s="10" t="n"/>
      <c r="I302" s="4" t="n"/>
      <c r="J302" s="9" t="n">
        <v>45999</v>
      </c>
      <c r="K302" s="9" t="n">
        <v>46062</v>
      </c>
      <c r="L302" s="4" t="n"/>
      <c r="M302" s="4" t="n"/>
      <c r="N302" s="4" t="n"/>
      <c r="O302" s="4" t="n"/>
      <c r="P302" s="4" t="n"/>
      <c r="Q302" s="4" t="inlineStr">
        <is>
          <t>Com Relator</t>
        </is>
      </c>
      <c r="R302" s="2" t="n"/>
      <c r="S302" s="4" t="n"/>
      <c r="T302" s="4" t="n"/>
      <c r="U302" s="7" t="n"/>
      <c r="V302" s="3" t="inlineStr">
        <is>
          <t>http://alerjln1.alerj.rj.gov.br/scpro2327.nsf/18c1dd68f96be3e7832566ec0018d833/8f89b3502b489f240325896b0057f088?OpenDocument</t>
        </is>
      </c>
      <c r="W302" s="3">
        <f>RIGHT(C302, 4)</f>
        <v/>
      </c>
      <c r="X302" s="3">
        <f>LEFT(C302, LEN(C302) - 5)</f>
        <v/>
      </c>
    </row>
    <row r="303" ht="45" customHeight="1" s="79">
      <c r="A303" s="2" t="inlineStr">
        <is>
          <t>Projeto Lei</t>
        </is>
      </c>
      <c r="B303" s="4" t="n"/>
      <c r="C303" s="2" t="inlineStr">
        <is>
          <t>1127/2023</t>
        </is>
      </c>
      <c r="D303" s="2" t="inlineStr">
        <is>
          <t>AUTORIZA A CRIAÇÃO DO FUNDO ESTADUAL DE ILUMINAÇÃO PÚBLICA NO ESTADO DO RIO DE JANEIRO.</t>
        </is>
      </c>
      <c r="E303" s="2" t="inlineStr">
        <is>
          <t>VINICIUS COZZOLINO</t>
        </is>
      </c>
      <c r="F303" s="18" t="inlineStr">
        <is>
          <t>RENATO MIRANDA</t>
        </is>
      </c>
      <c r="G303" s="10" t="n"/>
      <c r="H303" s="10" t="n"/>
      <c r="I303" s="4" t="n"/>
      <c r="J303" s="9" t="n">
        <v>45999</v>
      </c>
      <c r="K303" s="9" t="n">
        <v>46062</v>
      </c>
      <c r="L303" s="4" t="n"/>
      <c r="M303" s="4" t="n"/>
      <c r="N303" s="4" t="n"/>
      <c r="O303" s="4" t="n"/>
      <c r="P303" s="4" t="n"/>
      <c r="Q303" s="4" t="inlineStr">
        <is>
          <t>Com Relator</t>
        </is>
      </c>
      <c r="R303" s="2" t="n"/>
      <c r="S303" s="4" t="n"/>
      <c r="T303" s="4" t="n"/>
      <c r="U303" s="7" t="n"/>
      <c r="V303" s="3" t="inlineStr">
        <is>
          <t>http://alerjln1.alerj.rj.gov.br/scpro2327.nsf/18c1dd68f96be3e7832566ec0018d833/fa1be7d2b0b19c8c032589b8005ca1e0?OpenDocument</t>
        </is>
      </c>
      <c r="W303" s="3">
        <f>RIGHT(C303, 4)</f>
        <v/>
      </c>
      <c r="X303" s="3">
        <f>LEFT(C303, LEN(C303) - 5)</f>
        <v/>
      </c>
    </row>
    <row r="304" ht="75" customHeight="1" s="79">
      <c r="A304" s="2" t="inlineStr">
        <is>
          <t>Projeto Lei</t>
        </is>
      </c>
      <c r="B304" s="4" t="n">
        <v>26</v>
      </c>
      <c r="C304" s="73" t="inlineStr">
        <is>
          <t>1621/2023</t>
        </is>
      </c>
      <c r="D304" s="2" t="inlineStr">
        <is>
          <t>DISPÕE SOBRE A IMPLANTAÇÃO DE PROGRAMA DE ROTINA DE SEGURANÇA, “SAÚDE SEGURA”, NAS UNIDADES DE SAÚDE PÚBLICA, NO ÂMBITO DO ESTADO DO RIO DE JANEIRO E DÁ OUTRAS PROVIDÊNCIAS.</t>
        </is>
      </c>
      <c r="E304" s="2" t="inlineStr">
        <is>
          <t>PEDRO RICARDO</t>
        </is>
      </c>
      <c r="F304" s="18" t="inlineStr">
        <is>
          <t>VINICIUS COZZOLINO</t>
        </is>
      </c>
      <c r="G304" s="10" t="inlineStr">
        <is>
          <t>FAVORÁEL COM AS EMENDAS DA COMISSÃO DE CONSTITUIÇÃO E JUSTIÇA</t>
        </is>
      </c>
      <c r="H304" s="10" t="n"/>
      <c r="I304" s="4" t="inlineStr">
        <is>
          <t>PRÓXIMA</t>
        </is>
      </c>
      <c r="J304" s="9" t="n">
        <v>45999</v>
      </c>
      <c r="K304" s="9" t="n">
        <v>46062</v>
      </c>
      <c r="L304" s="9" t="n">
        <v>46079</v>
      </c>
      <c r="M304" s="4" t="n"/>
      <c r="N304" s="4" t="n"/>
      <c r="O304" s="4" t="n"/>
      <c r="P304" s="4" t="n"/>
      <c r="Q304" s="4" t="inlineStr">
        <is>
          <t>Sim</t>
        </is>
      </c>
      <c r="R304" s="2" t="n"/>
      <c r="S304" s="4" t="n"/>
      <c r="T304" s="4" t="n"/>
      <c r="U304" s="7" t="n"/>
      <c r="V304" s="3" t="inlineStr">
        <is>
          <t>http://alerjln1.alerj.rj.gov.br/scpro2327.nsf/18c1dd68f96be3e7832566ec0018d833/17679c4197fef960032589ff0041eb3d?OpenDocument</t>
        </is>
      </c>
      <c r="W304" s="3">
        <f>RIGHT(C304, 4)</f>
        <v/>
      </c>
      <c r="X304" s="3">
        <f>LEFT(C304, LEN(C304) - 5)</f>
        <v/>
      </c>
    </row>
    <row r="305" ht="90" customHeight="1" s="79">
      <c r="A305" s="2" t="inlineStr">
        <is>
          <t>Projeto Lei</t>
        </is>
      </c>
      <c r="B305" s="4" t="n">
        <v>27</v>
      </c>
      <c r="C305" s="73" t="inlineStr">
        <is>
          <t>1651/2023</t>
        </is>
      </c>
      <c r="D305" s="2" t="inlineStr">
        <is>
          <t>DISPÕE SOBRE A INCLUSÃO DE INFORMAÇÕES SOBRE OS SINTOMAS DO TRANSTORNO DO ESPECTRO AUTISTA (TEA) NA CARTEIRA DE VACINAÇÃO E DÁ OUTRAS PROVIDÊNCIAS.</t>
        </is>
      </c>
      <c r="E305" s="2" t="inlineStr">
        <is>
          <t>FRED PACHECO</t>
        </is>
      </c>
      <c r="F305" s="18" t="inlineStr">
        <is>
          <t>VINICIUS COZZOLINO</t>
        </is>
      </c>
      <c r="G305" s="10" t="inlineStr">
        <is>
          <t>FAVORÁVEL COM COM O SUBSTITUTIVO DA COMISSÃO DE CONSTITUIÇÃO E JUSTIÇA</t>
        </is>
      </c>
      <c r="H305" s="10" t="n"/>
      <c r="I305" s="4" t="inlineStr">
        <is>
          <t>PRÓXIMA</t>
        </is>
      </c>
      <c r="J305" s="9" t="n">
        <v>45999</v>
      </c>
      <c r="K305" s="9" t="n">
        <v>46062</v>
      </c>
      <c r="L305" s="9" t="n">
        <v>46079</v>
      </c>
      <c r="M305" s="4" t="n"/>
      <c r="N305" s="4" t="n"/>
      <c r="O305" s="4" t="n"/>
      <c r="P305" s="4" t="n"/>
      <c r="Q305" s="4" t="inlineStr">
        <is>
          <t>Sim</t>
        </is>
      </c>
      <c r="R305" s="2" t="n"/>
      <c r="S305" s="4" t="n"/>
      <c r="T305" s="4" t="n"/>
      <c r="U305" s="7" t="n"/>
      <c r="V305" s="3" t="inlineStr">
        <is>
          <t>http://alerjln1.alerj.rj.gov.br/scpro2327.nsf/18c1dd68f96be3e7832566ec0018d833/30b294edd094ff2a03258a0000528ef5?OpenDocument</t>
        </is>
      </c>
      <c r="W305" s="3">
        <f>RIGHT(C305, 4)</f>
        <v/>
      </c>
      <c r="X305" s="3">
        <f>LEFT(C305, LEN(C305) - 5)</f>
        <v/>
      </c>
    </row>
    <row r="306" ht="60" customHeight="1" s="79">
      <c r="A306" s="2" t="inlineStr">
        <is>
          <t>Projeto Lei</t>
        </is>
      </c>
      <c r="B306" s="4" t="n"/>
      <c r="C306" s="2" t="inlineStr">
        <is>
          <t>1764/2023</t>
        </is>
      </c>
      <c r="D306" s="2" t="inlineStr">
        <is>
          <t>DISPÕE SOBRE A CRIAÇÃO DO PROGRAMA DE PROTEÇÃO E ATENDIMENTO À PESSOA IDOSA  “PATRULHA DA PESSOA IDOSA” NO ÂMBITO DO ESTADO RIO DE JANEIRO E DÁ OUTRAS PROVIDÊNCIAS.</t>
        </is>
      </c>
      <c r="E306" s="2" t="inlineStr">
        <is>
          <t>MUNIR NETO</t>
        </is>
      </c>
      <c r="F306" s="18" t="inlineStr">
        <is>
          <t>RENATO MIRANDA</t>
        </is>
      </c>
      <c r="G306" s="10" t="n"/>
      <c r="H306" s="10" t="n"/>
      <c r="I306" s="4" t="n"/>
      <c r="J306" s="9" t="n">
        <v>45999</v>
      </c>
      <c r="K306" s="9" t="n">
        <v>46062</v>
      </c>
      <c r="L306" s="4" t="n"/>
      <c r="M306" s="4" t="n"/>
      <c r="N306" s="4" t="n"/>
      <c r="O306" s="4" t="n"/>
      <c r="P306" s="4" t="n"/>
      <c r="Q306" s="4" t="inlineStr">
        <is>
          <t>Com Relator</t>
        </is>
      </c>
      <c r="R306" s="2" t="n"/>
      <c r="S306" s="4" t="n"/>
      <c r="T306" s="4" t="n"/>
      <c r="U306" s="7" t="n"/>
      <c r="V306" s="3" t="inlineStr">
        <is>
          <t>http://alerjln1.alerj.rj.gov.br/scpro2327.nsf/18c1dd68f96be3e7832566ec0018d833/c3aa7012a79d413803258a0d005c0ec5?OpenDocument</t>
        </is>
      </c>
      <c r="W306" s="3">
        <f>RIGHT(C306, 4)</f>
        <v/>
      </c>
      <c r="X306" s="3">
        <f>LEFT(C306, LEN(C306) - 5)</f>
        <v/>
      </c>
    </row>
    <row r="307" ht="60" customHeight="1" s="79">
      <c r="A307" s="2" t="inlineStr">
        <is>
          <t>Projeto Lei</t>
        </is>
      </c>
      <c r="B307" s="4" t="n"/>
      <c r="C307" s="2" t="inlineStr">
        <is>
          <t>1998/2023</t>
        </is>
      </c>
      <c r="D307" s="2" t="inlineStr">
        <is>
          <t>INSTITUI O PROGRAMA DE ACESSO AUDIOVISUAL NO ESTADO DO RIO DE JANEIRO, ESTABELECE NORMAS PARA O SEU FUNCIONAMENTO, E DÁ OUTRAS PROVIDÊNCIAS.</t>
        </is>
      </c>
      <c r="E307" s="2" t="inlineStr">
        <is>
          <t>VERONICA LIMA</t>
        </is>
      </c>
      <c r="F307" s="18" t="inlineStr">
        <is>
          <t>RENATO MIRANDA</t>
        </is>
      </c>
      <c r="G307" s="10" t="n"/>
      <c r="H307" s="10" t="n"/>
      <c r="I307" s="4" t="n"/>
      <c r="J307" s="9" t="n">
        <v>45999</v>
      </c>
      <c r="K307" s="9" t="n">
        <v>46062</v>
      </c>
      <c r="L307" s="4" t="n"/>
      <c r="M307" s="4" t="n"/>
      <c r="N307" s="4" t="n"/>
      <c r="O307" s="4" t="n"/>
      <c r="P307" s="4" t="n"/>
      <c r="Q307" s="4" t="inlineStr">
        <is>
          <t>Com Relator</t>
        </is>
      </c>
      <c r="R307" s="2" t="n"/>
      <c r="S307" s="4" t="n"/>
      <c r="T307" s="4" t="n"/>
      <c r="U307" s="7" t="n"/>
      <c r="V307" s="3" t="inlineStr">
        <is>
          <t>http://alerjln1.alerj.rj.gov.br/scpro2327.nsf/18c1dd68f96be3e7832566ec0018d833/91f11028c66dd14903258a220064e544?OpenDocument</t>
        </is>
      </c>
      <c r="W307" s="3">
        <f>RIGHT(C307, 4)</f>
        <v/>
      </c>
      <c r="X307" s="3">
        <f>LEFT(C307, LEN(C307) - 5)</f>
        <v/>
      </c>
    </row>
    <row r="308" ht="60" customHeight="1" s="79">
      <c r="A308" s="2" t="inlineStr">
        <is>
          <t>Projeto Lei</t>
        </is>
      </c>
      <c r="B308" s="4" t="n"/>
      <c r="C308" s="2" t="inlineStr">
        <is>
          <t>4965/2025</t>
        </is>
      </c>
      <c r="D308" s="2" t="inlineStr">
        <is>
          <t>DISPÕE SOBRE A REVITALIZAÇÃO E MANUTENÇÃO DE CAMPOS PÚBLICOS DESTINADOS À PRÁTICA DO FUTEBOL AMADOR NO ESTADO DO RIO DE JANEIRO E ESTABELECE DIRETRIZES PARA SUA GESTÃO.</t>
        </is>
      </c>
      <c r="E308" s="2" t="inlineStr">
        <is>
          <t>VAL CEASA</t>
        </is>
      </c>
      <c r="F308" s="18" t="inlineStr">
        <is>
          <t>RENATO MIRANDA</t>
        </is>
      </c>
      <c r="G308" s="10" t="n"/>
      <c r="H308" s="10" t="n"/>
      <c r="I308" s="4" t="n"/>
      <c r="J308" s="9" t="n">
        <v>45999</v>
      </c>
      <c r="K308" s="9" t="n">
        <v>46062</v>
      </c>
      <c r="L308" s="4" t="n"/>
      <c r="M308" s="4" t="n"/>
      <c r="N308" s="4" t="n"/>
      <c r="O308" s="4" t="n"/>
      <c r="P308" s="4" t="n"/>
      <c r="Q308" s="4" t="inlineStr">
        <is>
          <t>Com Relator</t>
        </is>
      </c>
      <c r="R308" s="2" t="n"/>
      <c r="S308" s="4" t="n"/>
      <c r="T308" s="4" t="n"/>
      <c r="U308" s="7" t="n"/>
      <c r="V308" s="3" t="inlineStr">
        <is>
          <t>http://alerjln1.alerj.rj.gov.br/scpro2327.nsf/18c1dd68f96be3e7832566ec0018d833/aba80bd61b8a024603258c52004e598b?OpenDocument</t>
        </is>
      </c>
      <c r="W308" s="3">
        <f>RIGHT(C308, 4)</f>
        <v/>
      </c>
      <c r="X308" s="3">
        <f>LEFT(C308, LEN(C308) - 5)</f>
        <v/>
      </c>
    </row>
    <row r="309" ht="75" customHeight="1" s="79">
      <c r="A309" s="2" t="inlineStr">
        <is>
          <t>Projeto Lei</t>
        </is>
      </c>
      <c r="B309" s="4" t="n"/>
      <c r="C309" s="2" t="inlineStr">
        <is>
          <t>EP 2416/2017</t>
        </is>
      </c>
      <c r="D309" s="2" t="inlineStr">
        <is>
          <t>ALTERA A LEI Nº 4.496, DE 03 DE JANEIRO DE 2005, PARA TORNAR OBRIGATÓRIA A REALIZAÇÃO EXAMES OFTALMOLÓGICO E OTORRINOLARINGOLÓGICO NAS ESCOLAS DE NÍVEL FUNDAMENTAL E MÉDIO DA REDE PÚBLICA E PRIVADA DE ENSINO.</t>
        </is>
      </c>
      <c r="E309" s="2" t="inlineStr">
        <is>
          <t>ÁTILA NUNES</t>
        </is>
      </c>
      <c r="F309" s="18" t="inlineStr">
        <is>
          <t>RENATO MIRANDA</t>
        </is>
      </c>
      <c r="G309" s="10" t="n"/>
      <c r="H309" s="10" t="n"/>
      <c r="I309" s="4" t="n"/>
      <c r="J309" s="9" t="n">
        <v>45999</v>
      </c>
      <c r="K309" s="9" t="n">
        <v>46062</v>
      </c>
      <c r="L309" s="4" t="n"/>
      <c r="M309" s="4" t="n"/>
      <c r="N309" s="4" t="n"/>
      <c r="O309" s="4" t="n"/>
      <c r="P309" s="4" t="n"/>
      <c r="Q309" s="4" t="inlineStr">
        <is>
          <t>Com Relator</t>
        </is>
      </c>
      <c r="R309" s="2" t="n"/>
      <c r="S309" s="4" t="n"/>
      <c r="T309" s="4" t="n"/>
      <c r="U309" s="7" t="n"/>
      <c r="V309" s="3" t="inlineStr">
        <is>
          <t>http://alerjln1.alerj.rj.gov.br/scpro1519.nsf/18c1dd68f96be3e7832566ec0018d833/ebb0a59bd917b148832580dc00671663?OpenDocument</t>
        </is>
      </c>
      <c r="W309" s="3">
        <f>RIGHT(C309, 4)</f>
        <v/>
      </c>
      <c r="X309" s="3">
        <f>LEFT(C309, LEN(C309) - 5)</f>
        <v/>
      </c>
    </row>
    <row r="310" ht="30" customHeight="1" s="79">
      <c r="A310" s="2" t="inlineStr">
        <is>
          <t>Projeto Lei</t>
        </is>
      </c>
      <c r="B310" s="4" t="n"/>
      <c r="C310" s="2" t="inlineStr">
        <is>
          <t>2180/2023</t>
        </is>
      </c>
      <c r="D310" s="2" t="inlineStr">
        <is>
          <t>INSTITUI O PROGRAMA “VISÃO DO FUTURO” NO ÂMBITO DO ESTADO DO RIO DE JANEIRO.</t>
        </is>
      </c>
      <c r="E310" s="2" t="inlineStr">
        <is>
          <t>DOUGLAS RUAS</t>
        </is>
      </c>
      <c r="F310" s="18" t="inlineStr">
        <is>
          <t>RENATO MIRANDA</t>
        </is>
      </c>
      <c r="G310" s="10" t="n"/>
      <c r="H310" s="10" t="n"/>
      <c r="I310" s="4" t="n"/>
      <c r="J310" s="9" t="n">
        <v>45999</v>
      </c>
      <c r="K310" s="9" t="n">
        <v>46062</v>
      </c>
      <c r="L310" s="4" t="n"/>
      <c r="M310" s="4" t="n"/>
      <c r="N310" s="4" t="n"/>
      <c r="O310" s="4" t="n"/>
      <c r="P310" s="4" t="n"/>
      <c r="Q310" s="4" t="inlineStr">
        <is>
          <t>Com Relator</t>
        </is>
      </c>
      <c r="R310" s="2" t="n"/>
      <c r="S310" s="4" t="n"/>
      <c r="T310" s="4" t="n"/>
      <c r="U310" s="7" t="n"/>
      <c r="V310" s="3" t="inlineStr">
        <is>
          <t>http://alerjln1.alerj.rj.gov.br/scpro2327.nsf/18c1dd68f96be3e7832566ec0018d833/6b124f6a864a91ed03258a360062ee0f?OpenDocument</t>
        </is>
      </c>
      <c r="W310" s="3">
        <f>RIGHT(C310, 4)</f>
        <v/>
      </c>
      <c r="X310" s="3">
        <f>LEFT(C310, LEN(C310) - 5)</f>
        <v/>
      </c>
    </row>
    <row r="311" ht="60" customHeight="1" s="79">
      <c r="A311" s="2" t="inlineStr">
        <is>
          <t>Projeto Lei</t>
        </is>
      </c>
      <c r="B311" s="4" t="n"/>
      <c r="C311" s="2" t="inlineStr">
        <is>
          <t>3348/2024</t>
        </is>
      </c>
      <c r="D311" s="2" t="inlineStr">
        <is>
          <t>DISPÕE SOBRE A CRIAÇÃO DO PROGRAMA OFICINAS DE RECICLAGEM DE PAPEL NO ÂMBITO DAS ESCOLAS PÚBLICAS DO ESTADO DO RIO DE JANEIRO E DÁ OUTRAS PROVIDÊNCIAS</t>
        </is>
      </c>
      <c r="E311" s="2" t="inlineStr">
        <is>
          <t>ANDREZINHO CECILIANO</t>
        </is>
      </c>
      <c r="F311" s="18" t="inlineStr">
        <is>
          <t>RENATO MIRANDA</t>
        </is>
      </c>
      <c r="G311" s="10" t="n"/>
      <c r="H311" s="10" t="n"/>
      <c r="I311" s="4" t="n"/>
      <c r="J311" s="9" t="n">
        <v>45999</v>
      </c>
      <c r="K311" s="9" t="n">
        <v>46062</v>
      </c>
      <c r="L311" s="4" t="n"/>
      <c r="M311" s="4" t="n"/>
      <c r="N311" s="4" t="n"/>
      <c r="O311" s="4" t="n"/>
      <c r="P311" s="4" t="n"/>
      <c r="Q311" s="4" t="inlineStr">
        <is>
          <t>Com Relator</t>
        </is>
      </c>
      <c r="R311" s="2" t="n"/>
      <c r="S311" s="4" t="n"/>
      <c r="T311" s="4" t="n"/>
      <c r="U311" s="7" t="n"/>
      <c r="V311" s="3" t="inlineStr">
        <is>
          <t>http://alerjln1.alerj.rj.gov.br/scpro2327.nsf/18c1dd68f96be3e7832566ec0018d833/65acf46cca015fcc03258aed005fdbb1?OpenDocument</t>
        </is>
      </c>
      <c r="W311" s="3">
        <f>RIGHT(C311, 4)</f>
        <v/>
      </c>
      <c r="X311" s="3">
        <f>LEFT(C311, LEN(C311) - 5)</f>
        <v/>
      </c>
    </row>
    <row r="312" ht="45" customHeight="1" s="79">
      <c r="A312" s="2" t="inlineStr">
        <is>
          <t>Projeto Lei</t>
        </is>
      </c>
      <c r="B312" s="4" t="n"/>
      <c r="C312" s="2" t="inlineStr">
        <is>
          <t>3449/2024</t>
        </is>
      </c>
      <c r="D312" s="2" t="inlineStr">
        <is>
          <t>INSTITUI A LEI DE ENFRENTAMENTO À EMERGÊNCIA CLIMÁTICA NAS ESCOLAS DA REDE ESTADUAL DE ENSINO E DÁ OUTRAS PROVIDÊNCIAS.</t>
        </is>
      </c>
      <c r="E312" s="2" t="inlineStr">
        <is>
          <t>PROF JOSEMAR</t>
        </is>
      </c>
      <c r="F312" s="18" t="inlineStr">
        <is>
          <t>RENATO MIRANDA</t>
        </is>
      </c>
      <c r="G312" s="10" t="n"/>
      <c r="H312" s="10" t="n"/>
      <c r="I312" s="4" t="n"/>
      <c r="J312" s="9" t="n">
        <v>45999</v>
      </c>
      <c r="K312" s="9" t="n">
        <v>46062</v>
      </c>
      <c r="L312" s="4" t="n"/>
      <c r="M312" s="4" t="n"/>
      <c r="N312" s="4" t="n"/>
      <c r="O312" s="4" t="n"/>
      <c r="P312" s="4" t="n"/>
      <c r="Q312" s="4" t="inlineStr">
        <is>
          <t>Com Relator</t>
        </is>
      </c>
      <c r="R312" s="2" t="n"/>
      <c r="S312" s="4" t="n"/>
      <c r="T312" s="4" t="n"/>
      <c r="U312" s="7" t="n"/>
      <c r="V312" s="3" t="inlineStr">
        <is>
          <t>http://alerjln1.alerj.rj.gov.br/scpro2327.nsf/18c1dd68f96be3e7832566ec0018d833/50b6bc102b7b551a03258b0a005e4d83?OpenDocument</t>
        </is>
      </c>
      <c r="W312" s="3">
        <f>RIGHT(C312, 4)</f>
        <v/>
      </c>
      <c r="X312" s="3">
        <f>LEFT(C312, LEN(C312) - 5)</f>
        <v/>
      </c>
    </row>
    <row r="313" ht="45" customHeight="1" s="79">
      <c r="A313" s="2" t="inlineStr">
        <is>
          <t>Projeto Lei</t>
        </is>
      </c>
      <c r="B313" s="4" t="n"/>
      <c r="C313" s="2" t="inlineStr">
        <is>
          <t>3016/2020</t>
        </is>
      </c>
      <c r="D313" s="2" t="inlineStr">
        <is>
          <t>INSTITUI A POLÍTICA ESTADUAL DE PROTEÇÃO, INCLUSÃO E ACOMPANHAMENTO EDUCACIONAL DOS ALUNOS COM EPILEPSIA E DÁ OUTRAS PROVIDÊNCIAS.</t>
        </is>
      </c>
      <c r="E313" s="2" t="inlineStr">
        <is>
          <t>DANNIEL LIBRELON</t>
        </is>
      </c>
      <c r="F313" s="18" t="inlineStr">
        <is>
          <t>RENATO MIRANDA</t>
        </is>
      </c>
      <c r="G313" s="10" t="n"/>
      <c r="H313" s="10" t="n"/>
      <c r="I313" s="4" t="n"/>
      <c r="J313" s="9" t="n">
        <v>45999</v>
      </c>
      <c r="K313" s="9" t="n">
        <v>46062</v>
      </c>
      <c r="L313" s="4" t="n"/>
      <c r="M313" s="4" t="n"/>
      <c r="N313" s="4" t="n"/>
      <c r="O313" s="4" t="n"/>
      <c r="P313" s="4" t="n"/>
      <c r="Q313" s="4" t="inlineStr">
        <is>
          <t>Com Relator</t>
        </is>
      </c>
      <c r="R313" s="2" t="n"/>
      <c r="S313" s="4" t="n"/>
      <c r="T313" s="4" t="n"/>
      <c r="U313" s="7" t="n"/>
      <c r="V313" s="3" t="inlineStr">
        <is>
          <t>http://alerjln1.alerj.rj.gov.br/scpro1923.nsf/18c1dd68f96be3e7832566ec0018d833/9a669832319efd33032585c8005e85f1?OpenDocument</t>
        </is>
      </c>
      <c r="W313" s="3">
        <f>RIGHT(C313, 4)</f>
        <v/>
      </c>
      <c r="X313" s="3">
        <f>LEFT(C313, LEN(C313) - 5)</f>
        <v/>
      </c>
    </row>
    <row r="314" ht="60" customHeight="1" s="79">
      <c r="A314" s="2" t="inlineStr">
        <is>
          <t>Projeto Lei</t>
        </is>
      </c>
      <c r="B314" s="4" t="n">
        <v>28</v>
      </c>
      <c r="C314" s="73" t="inlineStr">
        <is>
          <t>2052/2023</t>
        </is>
      </c>
      <c r="D314" s="2" t="inlineStr">
        <is>
          <t>ALTERA A LEI Nº 7.375, DE 14 DE JULHO 2016, PARA DISPOR SOBRE A PREVENÇÃO, DETECÇÃO E CONTROLE DA TROMBOFILIA GESTACIONAL NO ESTADO DO RIO DE JANEIRO.</t>
        </is>
      </c>
      <c r="E314" s="2" t="inlineStr">
        <is>
          <t>MÁRCIO CANELLA</t>
        </is>
      </c>
      <c r="F314" s="2" t="inlineStr">
        <is>
          <t>VINICIUS COZZOLINO</t>
        </is>
      </c>
      <c r="G314" s="10" t="inlineStr">
        <is>
          <t>FAVORÁVEL COM EMENDA</t>
        </is>
      </c>
      <c r="H314" s="10" t="n"/>
      <c r="I314" s="4" t="inlineStr">
        <is>
          <t>PRÓXIMA</t>
        </is>
      </c>
      <c r="J314" s="9" t="n">
        <v>46000</v>
      </c>
      <c r="K314" s="9" t="n">
        <v>46062</v>
      </c>
      <c r="L314" s="9" t="n">
        <v>46086</v>
      </c>
      <c r="M314" s="4" t="n"/>
      <c r="N314" s="4" t="n"/>
      <c r="O314" s="4" t="n"/>
      <c r="P314" s="4" t="n"/>
      <c r="Q314" s="4" t="inlineStr">
        <is>
          <t>Sim</t>
        </is>
      </c>
      <c r="R314" s="2" t="n"/>
      <c r="S314" s="4" t="n"/>
      <c r="T314" s="4" t="n"/>
      <c r="U314" s="7" t="n"/>
      <c r="V314" s="3" t="inlineStr">
        <is>
          <t>http://alerjln1.alerj.rj.gov.br/scpro2327.nsf/18c1dd68f96be3e7832566ec0018d833/c5df03d7df9b59b203258a290047ee65?OpenDocument</t>
        </is>
      </c>
      <c r="W314" s="3">
        <f>RIGHT(C314, 4)</f>
        <v/>
      </c>
      <c r="X314" s="3">
        <f>LEFT(C314, LEN(C314) - 5)</f>
        <v/>
      </c>
    </row>
    <row r="315" ht="60" customHeight="1" s="79">
      <c r="A315" s="2" t="inlineStr">
        <is>
          <t>Projeto Lei</t>
        </is>
      </c>
      <c r="B315" s="4" t="n">
        <v>29</v>
      </c>
      <c r="C315" s="73" t="inlineStr">
        <is>
          <t>3708/2024</t>
        </is>
      </c>
      <c r="D315" s="2" t="inlineStr">
        <is>
          <t>DISPÕE SOBRE A CRIAÇÃO DO PROGRAMA DE PREVENÇÃO DE SAÚDE DA SARCOPENIA, NO ÂMBITO DO ESTADO DO RIO DE JANEIRO, E DÁ OUTRAS PROVIDÊNCIAS.</t>
        </is>
      </c>
      <c r="E315" s="2" t="inlineStr">
        <is>
          <t>RENAN JORDY</t>
        </is>
      </c>
      <c r="F315" s="2" t="inlineStr">
        <is>
          <t>VINICIUS COZZOLINO</t>
        </is>
      </c>
      <c r="G315" s="10" t="inlineStr">
        <is>
          <t>FAVORÁVEL</t>
        </is>
      </c>
      <c r="H315" s="10" t="n"/>
      <c r="I315" s="4" t="inlineStr">
        <is>
          <t>PRÓXIMA</t>
        </is>
      </c>
      <c r="J315" s="9" t="n">
        <v>46000</v>
      </c>
      <c r="K315" s="9" t="n">
        <v>46062</v>
      </c>
      <c r="L315" s="9" t="n">
        <v>46079</v>
      </c>
      <c r="M315" s="4" t="n"/>
      <c r="N315" s="4" t="n"/>
      <c r="O315" s="4" t="n"/>
      <c r="P315" s="4" t="n"/>
      <c r="Q315" s="4" t="inlineStr">
        <is>
          <t>Sim</t>
        </is>
      </c>
      <c r="R315" s="2" t="n"/>
      <c r="S315" s="4" t="n"/>
      <c r="T315" s="4" t="n"/>
      <c r="U315" s="7" t="n"/>
      <c r="V315" s="3" t="inlineStr">
        <is>
          <t>http://alerjln1.alerj.rj.gov.br/scpro2327.nsf/18c1dd68f96be3e7832566ec0018d833/21105a15fad0ae2f03258b33006781e0?OpenDocument</t>
        </is>
      </c>
      <c r="W315" s="3">
        <f>RIGHT(C315, 4)</f>
        <v/>
      </c>
      <c r="X315" s="3">
        <f>LEFT(C315, LEN(C315) - 5)</f>
        <v/>
      </c>
    </row>
    <row r="316" ht="30" customHeight="1" s="79">
      <c r="A316" s="2" t="inlineStr">
        <is>
          <t>Projeto Lei</t>
        </is>
      </c>
      <c r="B316" s="4" t="n">
        <v>31</v>
      </c>
      <c r="C316" s="73" t="inlineStr">
        <is>
          <t>4274/2024</t>
        </is>
      </c>
      <c r="D316" s="2" t="inlineStr">
        <is>
          <t>ALTERA A LEI Nº 8953, DE 30 DE JULHO DE 2020, NA FORMA QUE MENCIONA.</t>
        </is>
      </c>
      <c r="E316" s="2" t="inlineStr">
        <is>
          <t>CELIA JORDÃO</t>
        </is>
      </c>
      <c r="F316" s="2" t="inlineStr">
        <is>
          <t>VINICIUS COZZOLINO</t>
        </is>
      </c>
      <c r="G316" s="10" t="inlineStr">
        <is>
          <t>FAVORÁVEL</t>
        </is>
      </c>
      <c r="H316" s="10" t="n"/>
      <c r="I316" s="4" t="inlineStr">
        <is>
          <t>PRÓXIMA</t>
        </is>
      </c>
      <c r="J316" s="9" t="n">
        <v>46000</v>
      </c>
      <c r="K316" s="9" t="n">
        <v>46062</v>
      </c>
      <c r="L316" s="9" t="n">
        <v>46079</v>
      </c>
      <c r="M316" s="4" t="n"/>
      <c r="N316" s="4" t="n"/>
      <c r="O316" s="4" t="n"/>
      <c r="P316" s="4" t="n"/>
      <c r="Q316" s="4" t="inlineStr">
        <is>
          <t>Sim</t>
        </is>
      </c>
      <c r="R316" s="2" t="n"/>
      <c r="S316" s="4" t="n"/>
      <c r="T316" s="4" t="n"/>
      <c r="U316" s="7" t="n"/>
      <c r="V316" s="3" t="inlineStr">
        <is>
          <t>http://alerjln1.alerj.rj.gov.br/scpro2327.nsf/18c1dd68f96be3e7832566ec0018d833/b33ec75fcd3d7ea703258bb700623d66?OpenDocument</t>
        </is>
      </c>
      <c r="W316" s="3">
        <f>RIGHT(C316, 4)</f>
        <v/>
      </c>
      <c r="X316" s="3">
        <f>LEFT(C316, LEN(C316) - 5)</f>
        <v/>
      </c>
    </row>
    <row r="317" ht="75" customHeight="1" s="79">
      <c r="A317" s="2" t="inlineStr">
        <is>
          <t>Projeto Lei</t>
        </is>
      </c>
      <c r="B317" s="4" t="n">
        <v>33</v>
      </c>
      <c r="C317" s="73" t="inlineStr">
        <is>
          <t>4478/2024</t>
        </is>
      </c>
      <c r="D317" s="2" t="inlineStr">
        <is>
          <t>DISPÕE SOBRE A VIABILIZAÇÃO DE PAGAMENTO DE TRIBUTOS, TAXAS E MULTAS DE VEÍCULOS AUTOMOTORES DURANTE ABORDAGEM POR AUTORIDADES DE TRÂNSITO EM OPERAÇÕES NAS VIAS E  DÁ OUTRAS PROVIDÊNCIAS.</t>
        </is>
      </c>
      <c r="E317" s="2" t="inlineStr">
        <is>
          <t>GIOVANI RATINHO,RAFAEL NOBRE,TH JOIAS,VAL CEASA,VALDECY DA SAÚDE</t>
        </is>
      </c>
      <c r="F317" s="2" t="inlineStr">
        <is>
          <t>VINICIUS COZZOLINO</t>
        </is>
      </c>
      <c r="G317" s="10" t="inlineStr">
        <is>
          <t>FAVORÁVEL</t>
        </is>
      </c>
      <c r="H317" s="10" t="n"/>
      <c r="I317" s="4" t="inlineStr">
        <is>
          <t>PRÓXIMA</t>
        </is>
      </c>
      <c r="J317" s="9" t="n">
        <v>46009</v>
      </c>
      <c r="K317" s="9" t="n">
        <v>46062</v>
      </c>
      <c r="L317" s="9" t="n">
        <v>46079</v>
      </c>
      <c r="M317" s="4" t="n"/>
      <c r="N317" s="4" t="n"/>
      <c r="O317" s="4" t="n"/>
      <c r="P317" s="4" t="n"/>
      <c r="Q317" s="4" t="inlineStr">
        <is>
          <t>Sim</t>
        </is>
      </c>
      <c r="R317" s="2" t="n"/>
      <c r="S317" s="4" t="n"/>
      <c r="T317" s="4" t="n"/>
      <c r="U317" s="7" t="n"/>
      <c r="V317" s="3" t="inlineStr">
        <is>
          <t>http://alerjln1.alerj.rj.gov.br/scpro2327.nsf/18c1dd68f96be3e7832566ec0018d833/e7281c7aacb38b7503258be20064d79c?OpenDocument</t>
        </is>
      </c>
      <c r="W317" s="3">
        <f>RIGHT(C317, 4)</f>
        <v/>
      </c>
      <c r="X317" s="3">
        <f>LEFT(C317, LEN(C317) - 5)</f>
        <v/>
      </c>
    </row>
    <row r="318" ht="75" customHeight="1" s="79">
      <c r="A318" s="2" t="inlineStr">
        <is>
          <t>Projeto Lei</t>
        </is>
      </c>
      <c r="B318" s="4" t="n">
        <v>23</v>
      </c>
      <c r="C318" s="73" t="inlineStr">
        <is>
          <t>429/2023</t>
        </is>
      </c>
      <c r="D318" s="2" t="inlineStr">
        <is>
          <t>DISPÕE SOBRE A VEDAÇÃO DE CONCESSÃO DE BENEFÍCIOS FISCAIS ÀS PESSOAS FÍSICAS OU JURÍDICAS CONDENADAS POR CORRUPÇÃO OU ATO DE IMPROBIDADE ADMINISTRATIVA, NA FORMA QUE MENCIONA.</t>
        </is>
      </c>
      <c r="E318" s="2" t="inlineStr">
        <is>
          <t>ANDERSON MORAES</t>
        </is>
      </c>
      <c r="F318" s="2" t="inlineStr">
        <is>
          <t>VINICIUS COZZOLINO</t>
        </is>
      </c>
      <c r="G318" s="10" t="inlineStr">
        <is>
          <t>FAVORÁVEL COM A EMENDA DA COMISSÃO DE CONSTITUIÇÃO E JUSTIÇA</t>
        </is>
      </c>
      <c r="H318" s="10" t="n"/>
      <c r="I318" s="4" t="inlineStr">
        <is>
          <t>PRÓXIMA</t>
        </is>
      </c>
      <c r="J318" s="9" t="n">
        <v>46009</v>
      </c>
      <c r="K318" s="9" t="n">
        <v>46062</v>
      </c>
      <c r="L318" s="9" t="n">
        <v>46086</v>
      </c>
      <c r="M318" s="4" t="n"/>
      <c r="N318" s="4" t="n"/>
      <c r="O318" s="4" t="n"/>
      <c r="P318" s="4" t="n"/>
      <c r="Q318" s="4" t="inlineStr">
        <is>
          <t>Sim</t>
        </is>
      </c>
      <c r="R318" s="2" t="n"/>
      <c r="S318" s="4" t="n"/>
      <c r="T318" s="4" t="n"/>
      <c r="U318" s="7" t="n"/>
      <c r="V318" s="3" t="inlineStr">
        <is>
          <t>http://alerjln1.alerj.rj.gov.br/scpro2327.nsf/18c1dd68f96be3e7832566ec0018d833/c9b00590df6cf2340325896c0064d887?OpenDocument</t>
        </is>
      </c>
      <c r="W318" s="3">
        <f>RIGHT(C318, 4)</f>
        <v/>
      </c>
      <c r="X318" s="3">
        <f>LEFT(C318, LEN(C318) - 5)</f>
        <v/>
      </c>
    </row>
    <row r="319" ht="90" customHeight="1" s="79">
      <c r="A319" s="2" t="inlineStr">
        <is>
          <t>Projeto Lei</t>
        </is>
      </c>
      <c r="B319" s="4" t="n">
        <v>24</v>
      </c>
      <c r="C319" s="73" t="inlineStr">
        <is>
          <t>691/2023</t>
        </is>
      </c>
      <c r="D319" s="2" t="inlineStr">
        <is>
          <t>CRIA O SELO “SOLDADO-CIDADÃO” PARA AS EMPRESAS QUE ADMITIREM, PARA O PRIMEIRO EMPREGO, CIDADÃOS QUE ESTÃO FINALIZANDO O CUMPRIMENTO DO SERVIÇO MILITAR OBRIGATÓRIO OU TEMPORÁRIO, NO ÂMBITO DO ESTADO DO RIO DE JANEIRO.</t>
        </is>
      </c>
      <c r="E319" s="2" t="inlineStr">
        <is>
          <t>RODRIGO AMORIM</t>
        </is>
      </c>
      <c r="F319" s="2" t="inlineStr">
        <is>
          <t>VINICIUS COZZOLINO</t>
        </is>
      </c>
      <c r="G319" s="10" t="inlineStr">
        <is>
          <t>FAVORÁVEL COM AS EMENDAS DA COMISSÃO DE CONSTITUIÇÃO E JUSTIÇA</t>
        </is>
      </c>
      <c r="H319" s="10" t="n"/>
      <c r="I319" s="4" t="inlineStr">
        <is>
          <t>PRÓXIMA</t>
        </is>
      </c>
      <c r="J319" s="9" t="n">
        <v>46009</v>
      </c>
      <c r="K319" s="9" t="n">
        <v>46062</v>
      </c>
      <c r="L319" s="9" t="n">
        <v>46079</v>
      </c>
      <c r="M319" s="4" t="n"/>
      <c r="N319" s="4" t="n"/>
      <c r="O319" s="4" t="n"/>
      <c r="P319" s="4" t="n"/>
      <c r="Q319" s="4" t="inlineStr">
        <is>
          <t>Sim</t>
        </is>
      </c>
      <c r="R319" s="2" t="n"/>
      <c r="S319" s="4" t="n"/>
      <c r="T319" s="4" t="n"/>
      <c r="U319" s="7" t="n"/>
      <c r="V319" s="3" t="inlineStr">
        <is>
          <t>http://alerjln1.alerj.rj.gov.br/scpro2327.nsf/18c1dd68f96be3e7832566ec0018d833/ea8ba03f16350b550325898d004de0dc?OpenDocument</t>
        </is>
      </c>
      <c r="W319" s="3">
        <f>RIGHT(C319, 4)</f>
        <v/>
      </c>
      <c r="X319" s="3">
        <f>LEFT(C319, LEN(C319) - 5)</f>
        <v/>
      </c>
    </row>
    <row r="320" ht="75" customHeight="1" s="79">
      <c r="A320" s="2" t="inlineStr">
        <is>
          <t>Projeto Lei</t>
        </is>
      </c>
      <c r="B320" s="4" t="n">
        <v>25</v>
      </c>
      <c r="C320" s="73" t="inlineStr">
        <is>
          <t>1547/2023</t>
        </is>
      </c>
      <c r="D320" s="2" t="inlineStr">
        <is>
          <t>MODIFICA A LEI Nº 2.877, DE 22 DE DEZEMBRO DE 1997 QUE DISPÕE SOBRE O IMPOSTO SOBRE A PROPRIEDADE DE VEÍCULOS AUTOMOTORES E DÁ OUTRAS PROVIDÊNCIAS.</t>
        </is>
      </c>
      <c r="E320" s="2" t="inlineStr">
        <is>
          <t>LUIZ PAULO</t>
        </is>
      </c>
      <c r="F320" s="2" t="inlineStr">
        <is>
          <t>VINICIUS COZZOLINO</t>
        </is>
      </c>
      <c r="G320" s="10" t="inlineStr">
        <is>
          <t>FAVORÁVEL COM O SUBSTITUTIVO DA COMISSÃO DE CONSTITUIÇÃO E JUSTIÇA</t>
        </is>
      </c>
      <c r="H320" s="10" t="n"/>
      <c r="I320" s="4" t="inlineStr">
        <is>
          <t>PRÓXIMA</t>
        </is>
      </c>
      <c r="J320" s="9" t="n">
        <v>46009</v>
      </c>
      <c r="K320" s="9" t="n">
        <v>46062</v>
      </c>
      <c r="L320" s="9" t="n">
        <v>46079</v>
      </c>
      <c r="M320" s="4" t="n"/>
      <c r="N320" s="4" t="n"/>
      <c r="O320" s="4" t="n"/>
      <c r="P320" s="4" t="n"/>
      <c r="Q320" s="4" t="inlineStr">
        <is>
          <t>Sim</t>
        </is>
      </c>
      <c r="R320" s="2" t="n"/>
      <c r="S320" s="4" t="n"/>
      <c r="T320" s="4" t="n"/>
      <c r="U320" s="7" t="n"/>
      <c r="V320" s="3" t="inlineStr">
        <is>
          <t>http://alerjln1.alerj.rj.gov.br/scpro2327.nsf/18c1dd68f96be3e7832566ec0018d833/3911575a230cf00f032589f900590b48?OpenDocument</t>
        </is>
      </c>
      <c r="W320" s="3">
        <f>RIGHT(C320, 4)</f>
        <v/>
      </c>
      <c r="X320" s="3">
        <f>LEFT(C320, LEN(C320) - 5)</f>
        <v/>
      </c>
    </row>
    <row r="321" ht="30" customHeight="1" s="79">
      <c r="A321" s="2" t="inlineStr">
        <is>
          <t>Projeto Lei</t>
        </is>
      </c>
      <c r="B321" s="4" t="n">
        <v>32</v>
      </c>
      <c r="C321" s="73" t="inlineStr">
        <is>
          <t>4424/2024</t>
        </is>
      </c>
      <c r="D321" s="2" t="inlineStr">
        <is>
          <t>ALTERA A LEI Nº 2877, DE 22 DE DEZEMBRO DE 1997, E DÁ OUTRAS PROVIDÊNCIAS.</t>
        </is>
      </c>
      <c r="E321" s="2" t="inlineStr">
        <is>
          <t>ELIKA TAKIMOTO</t>
        </is>
      </c>
      <c r="F321" s="2" t="inlineStr">
        <is>
          <t>VINICIUS COZZOLINO</t>
        </is>
      </c>
      <c r="G321" s="10" t="inlineStr">
        <is>
          <t>FAVORÁVEL</t>
        </is>
      </c>
      <c r="H321" s="10" t="n"/>
      <c r="I321" s="4" t="inlineStr">
        <is>
          <t>PRÓXIMA</t>
        </is>
      </c>
      <c r="J321" s="9" t="n">
        <v>46009</v>
      </c>
      <c r="K321" s="9" t="n">
        <v>46062</v>
      </c>
      <c r="L321" s="9" t="n">
        <v>46079</v>
      </c>
      <c r="M321" s="4" t="n"/>
      <c r="N321" s="4" t="n"/>
      <c r="O321" s="4" t="n"/>
      <c r="P321" s="4" t="n"/>
      <c r="Q321" s="4" t="inlineStr">
        <is>
          <t>Sim</t>
        </is>
      </c>
      <c r="R321" s="2" t="n"/>
      <c r="S321" s="4" t="n"/>
      <c r="T321" s="4" t="n"/>
      <c r="U321" s="7" t="n"/>
      <c r="V321" s="3" t="inlineStr">
        <is>
          <t>http://alerjln1.alerj.rj.gov.br/scpro2327.nsf/18c1dd68f96be3e7832566ec0018d833/90861bbc834b8f0803258bcc00619c4a?OpenDocument</t>
        </is>
      </c>
      <c r="W321" s="3">
        <f>RIGHT(C321, 4)</f>
        <v/>
      </c>
      <c r="X321" s="3">
        <f>LEFT(C321, LEN(C321) - 5)</f>
        <v/>
      </c>
    </row>
    <row r="322" ht="105" customHeight="1" s="79">
      <c r="A322" s="2" t="inlineStr">
        <is>
          <t>Projeto Lei</t>
        </is>
      </c>
      <c r="B322" s="4" t="n">
        <v>11</v>
      </c>
      <c r="C322" s="73" t="inlineStr">
        <is>
          <t>3331/2020</t>
        </is>
      </c>
      <c r="D322" s="2" t="inlineStr">
        <is>
          <t>DISPÕE SOBRE A ATENÇÃO TERAPÊUTICA OCUPACIONAL NO CONTEXTO ESCOLAR, EM ÂMBITO ESTADUAL PARA ALUNOS DA REDE ESTADUAL DE EDUCAÇÃO, NO PERÍODO DA PANDEMIA E PÓS-PANDEMIA, POR MEIO DE ATENDIMENTO PRESENCIAL E TELEATENDIMENTO PELAS SECRETARIAS ESTADUAIS DE EDUCAÇÃO E DE SAÚDE DO RIO DE JANEIRO.</t>
        </is>
      </c>
      <c r="E322" s="2" t="inlineStr">
        <is>
          <t>ALEXANDRE KNOPLOCH</t>
        </is>
      </c>
      <c r="F322" s="2" t="inlineStr">
        <is>
          <t>CARLOS MACEDO</t>
        </is>
      </c>
      <c r="G322" s="10" t="inlineStr">
        <is>
          <t>FAVORÁVEL COM A EMENDA DA COMISSÃO DE CONSTITUIÇÃO E JUSTIÇA</t>
        </is>
      </c>
      <c r="H322" s="10" t="n"/>
      <c r="I322" s="4" t="inlineStr">
        <is>
          <t>PRÓXIMA</t>
        </is>
      </c>
      <c r="J322" s="9" t="n">
        <v>46064</v>
      </c>
      <c r="K322" s="9" t="n">
        <v>46064</v>
      </c>
      <c r="L322" s="4" t="n"/>
      <c r="M322" s="4" t="n"/>
      <c r="N322" s="4" t="n"/>
      <c r="O322" s="4" t="n"/>
      <c r="P322" s="4" t="n"/>
      <c r="Q322" s="12" t="inlineStr">
        <is>
          <t>Com relator</t>
        </is>
      </c>
      <c r="R322" s="2" t="n"/>
      <c r="S322" s="4" t="n"/>
      <c r="T322" s="4" t="n"/>
      <c r="U322" s="7" t="n"/>
      <c r="V322" s="3" t="inlineStr">
        <is>
          <t>http://alerjln1.alerj.rj.gov.br/scpro1923.nsf/18c1dd68f96be3e7832566ec0018d833/d8b0d1ed1077e49c03258625004dfffa?OpenDocument</t>
        </is>
      </c>
      <c r="W322" s="3">
        <f>RIGHT(C322, 4)</f>
        <v/>
      </c>
      <c r="X322" s="3">
        <f>LEFT(C322, LEN(C322) - 5)</f>
        <v/>
      </c>
    </row>
    <row r="323" ht="60" customHeight="1" s="79">
      <c r="A323" s="2" t="inlineStr">
        <is>
          <t>Projeto Lei</t>
        </is>
      </c>
      <c r="B323" s="4" t="n"/>
      <c r="C323" s="2" t="inlineStr">
        <is>
          <t>4660/2021</t>
        </is>
      </c>
      <c r="D323" s="2" t="inlineStr">
        <is>
          <t>CRIA O PROGRAMA ESTADUAL CONDOMÍNIO CIDADANIA PARA ATENDIMENTO HUMANIZADO E INDIVIDUALIZADO A POPULAÇÃO EM SITUAÇÃO DE RUA.</t>
        </is>
      </c>
      <c r="E323" s="2" t="inlineStr">
        <is>
          <t>ZEIDAN</t>
        </is>
      </c>
      <c r="F323" s="2" t="inlineStr">
        <is>
          <t>CARLOS MACEDO</t>
        </is>
      </c>
      <c r="G323" s="10" t="n"/>
      <c r="H323" s="10" t="n"/>
      <c r="I323" s="4" t="n"/>
      <c r="J323" s="9" t="n">
        <v>46064</v>
      </c>
      <c r="K323" s="9" t="n">
        <v>46064</v>
      </c>
      <c r="L323" s="4" t="n"/>
      <c r="M323" s="4" t="n"/>
      <c r="N323" s="4" t="n"/>
      <c r="O323" s="4" t="n"/>
      <c r="P323" s="4" t="n"/>
      <c r="Q323" s="12" t="inlineStr">
        <is>
          <t>Com relator</t>
        </is>
      </c>
      <c r="R323" s="2" t="n"/>
      <c r="S323" s="4" t="n"/>
      <c r="T323" s="4" t="n"/>
      <c r="U323" s="7" t="n"/>
      <c r="V323" s="3" t="inlineStr">
        <is>
          <t>http://alerjln1.alerj.rj.gov.br/scpro1923.nsf/18c1dd68f96be3e7832566ec0018d833/3cf566ff3f4e9db403258734006bfcb1?OpenDocument</t>
        </is>
      </c>
      <c r="W323" s="3">
        <f>RIGHT(C323, 4)</f>
        <v/>
      </c>
      <c r="X323" s="3">
        <f>LEFT(C323, LEN(C323) - 5)</f>
        <v/>
      </c>
    </row>
    <row r="324" ht="30" customHeight="1" s="79">
      <c r="A324" s="2" t="inlineStr">
        <is>
          <t>Projeto Lei</t>
        </is>
      </c>
      <c r="B324" s="4" t="n"/>
      <c r="C324" s="2" t="inlineStr">
        <is>
          <t>6163/2022</t>
        </is>
      </c>
      <c r="D324" s="2" t="inlineStr">
        <is>
          <t>INSTITUI O PROGRAMA DE ACONSELHAMENTO DE JOVENS CASAIS COM FILHOS</t>
        </is>
      </c>
      <c r="E324" s="2" t="inlineStr">
        <is>
          <t>MARCELO DINO</t>
        </is>
      </c>
      <c r="F324" s="2" t="inlineStr">
        <is>
          <t>CARLOS MACEDO</t>
        </is>
      </c>
      <c r="G324" s="10" t="n"/>
      <c r="H324" s="10" t="n"/>
      <c r="I324" s="4" t="n"/>
      <c r="J324" s="9" t="n">
        <v>46064</v>
      </c>
      <c r="K324" s="9" t="n">
        <v>46064</v>
      </c>
      <c r="L324" s="4" t="n"/>
      <c r="M324" s="4" t="n"/>
      <c r="N324" s="4" t="n"/>
      <c r="O324" s="4" t="n"/>
      <c r="P324" s="4" t="n"/>
      <c r="Q324" s="12" t="inlineStr">
        <is>
          <t>Com relator</t>
        </is>
      </c>
      <c r="R324" s="2" t="n"/>
      <c r="S324" s="4" t="n"/>
      <c r="T324" s="4" t="n"/>
      <c r="U324" s="7" t="n"/>
      <c r="V324" s="3" t="inlineStr">
        <is>
          <t>http://alerjln1.alerj.rj.gov.br/scpro1923.nsf/18c1dd68f96be3e7832566ec0018d833/ac9cb0c494465a12032588710065272e?OpenDocument</t>
        </is>
      </c>
      <c r="W324" s="3">
        <f>RIGHT(C324, 4)</f>
        <v/>
      </c>
      <c r="X324" s="3">
        <f>LEFT(C324, LEN(C324) - 5)</f>
        <v/>
      </c>
    </row>
    <row r="325" ht="75" customHeight="1" s="79">
      <c r="A325" s="2" t="inlineStr">
        <is>
          <t>Projeto Lei</t>
        </is>
      </c>
      <c r="B325" s="4" t="n"/>
      <c r="C325" s="2" t="inlineStr">
        <is>
          <t>1058/2023</t>
        </is>
      </c>
      <c r="D325" s="2" t="inlineStr">
        <is>
          <t>ALTERA A LEI Nº 8.738, DE 20 DE FEVEREIRO DE 2020, QUE DISPÕE SOBRE A CRIAÇÃO DA DELEGACIA DE DEFESA CONTRA MAUS-TRATOS A ANIMAIS DOMÉSTICOS NO ÂMBITO DO ESTADO DO RIO DE JANEIRO.</t>
        </is>
      </c>
      <c r="E325" s="2" t="inlineStr">
        <is>
          <t>CLAUDIO CAIADO,ROSENVERG REIS</t>
        </is>
      </c>
      <c r="F325" s="2" t="inlineStr">
        <is>
          <t>CARLOS MACEDO</t>
        </is>
      </c>
      <c r="G325" s="10" t="n"/>
      <c r="H325" s="10" t="n"/>
      <c r="I325" s="4" t="n"/>
      <c r="J325" s="9" t="n">
        <v>46064</v>
      </c>
      <c r="K325" s="9" t="n">
        <v>46064</v>
      </c>
      <c r="L325" s="4" t="n"/>
      <c r="M325" s="4" t="n"/>
      <c r="N325" s="4" t="n"/>
      <c r="O325" s="4" t="n"/>
      <c r="P325" s="4" t="n"/>
      <c r="Q325" s="12" t="inlineStr">
        <is>
          <t>Com relator</t>
        </is>
      </c>
      <c r="R325" s="2" t="n"/>
      <c r="S325" s="4" t="n"/>
      <c r="T325" s="4" t="n"/>
      <c r="U325" s="7" t="n"/>
      <c r="V325" s="3" t="inlineStr">
        <is>
          <t>http://alerjln1.alerj.rj.gov.br/scpro2327.nsf/18c1dd68f96be3e7832566ec0018d833/34f6c506a35572ad032589ac004f7958?OpenDocument</t>
        </is>
      </c>
      <c r="W325" s="3">
        <f>RIGHT(C325, 4)</f>
        <v/>
      </c>
      <c r="X325" s="3">
        <f>LEFT(C325, LEN(C325) - 5)</f>
        <v/>
      </c>
    </row>
    <row r="326" ht="60" customHeight="1" s="79">
      <c r="A326" s="2" t="inlineStr">
        <is>
          <t>Projeto Lei</t>
        </is>
      </c>
      <c r="B326" s="4" t="n"/>
      <c r="C326" s="2" t="inlineStr">
        <is>
          <t>2699/2023</t>
        </is>
      </c>
      <c r="D326" s="2" t="inlineStr">
        <is>
          <t>AUTORIZA O PODER EXECUTIVO A INSTITUIR O PROGRAMA DE BOLSA-TÉCNICO, NO ÂMBITO DO ESTADO DO RIO DE JANEIRO E DÁ OUTRAS PROVIDÊNCIAS.</t>
        </is>
      </c>
      <c r="E326" s="2" t="inlineStr">
        <is>
          <t>CARLINHOS BNH</t>
        </is>
      </c>
      <c r="F326" s="2" t="inlineStr">
        <is>
          <t>CARLOS MACEDO</t>
        </is>
      </c>
      <c r="G326" s="10" t="n"/>
      <c r="H326" s="10" t="n"/>
      <c r="I326" s="4" t="n"/>
      <c r="J326" s="43" t="n">
        <v>46064</v>
      </c>
      <c r="K326" s="9" t="n">
        <v>46064</v>
      </c>
      <c r="L326" s="4" t="n"/>
      <c r="M326" s="4" t="n"/>
      <c r="N326" s="4" t="n"/>
      <c r="O326" s="4" t="n"/>
      <c r="P326" s="4" t="n"/>
      <c r="Q326" s="12" t="inlineStr">
        <is>
          <t>Com relator</t>
        </is>
      </c>
      <c r="R326" s="2" t="n"/>
      <c r="S326" s="4" t="n"/>
      <c r="T326" s="4" t="n"/>
      <c r="U326" s="7" t="n"/>
      <c r="V326" s="3" t="inlineStr">
        <is>
          <t>http://alerjln1.alerj.rj.gov.br/scpro2327.nsf/18c1dd68f96be3e7832566ec0018d833/ab5af12b01d7eb0403258a77006177fc?OpenDocument</t>
        </is>
      </c>
      <c r="W326" s="3">
        <f>RIGHT(C326, 4)</f>
        <v/>
      </c>
      <c r="X326" s="3">
        <f>LEFT(C326, LEN(C326) - 5)</f>
        <v/>
      </c>
    </row>
    <row r="327" ht="30" customHeight="1" s="79">
      <c r="A327" s="2" t="inlineStr">
        <is>
          <t>Projeto Lei</t>
        </is>
      </c>
      <c r="B327" s="4" t="n"/>
      <c r="C327" s="2" t="inlineStr">
        <is>
          <t>3426/2024</t>
        </is>
      </c>
      <c r="D327" s="2" t="inlineStr">
        <is>
          <t>CRIA O “SELO CONDOMÍNIO AMIGO DOS ANIMAIS” NO ÂMBITO DO ESTADO DO RIO DE JANEIRO.</t>
        </is>
      </c>
      <c r="E327" s="2" t="inlineStr">
        <is>
          <t>BRAZAO</t>
        </is>
      </c>
      <c r="F327" s="2" t="inlineStr">
        <is>
          <t>CARLOS MACEDO</t>
        </is>
      </c>
      <c r="G327" s="10" t="n"/>
      <c r="H327" s="37" t="n"/>
      <c r="I327" s="14" t="n"/>
      <c r="J327" s="9" t="n">
        <v>46064</v>
      </c>
      <c r="K327" s="9" t="n">
        <v>46064</v>
      </c>
      <c r="L327" s="9" t="n"/>
      <c r="M327" s="4" t="n"/>
      <c r="N327" s="4" t="n"/>
      <c r="O327" s="4" t="n"/>
      <c r="P327" s="4" t="n"/>
      <c r="Q327" s="12" t="inlineStr">
        <is>
          <t>Com relator</t>
        </is>
      </c>
      <c r="R327" s="13" t="n"/>
      <c r="S327" s="4" t="n"/>
      <c r="T327" s="4" t="n"/>
      <c r="U327" s="7" t="n"/>
      <c r="V327" s="3" t="inlineStr">
        <is>
          <t>http://alerjln1.alerj.rj.gov.br/scpro2327.nsf/18c1dd68f96be3e7832566ec0018d833/24dad65df37222c403258b090056d50a?OpenDocument</t>
        </is>
      </c>
      <c r="W327" s="3">
        <f>RIGHT(C327, 4)</f>
        <v/>
      </c>
      <c r="X327" s="3">
        <f>LEFT(C327, LEN(C327) - 5)</f>
        <v/>
      </c>
    </row>
    <row r="328" ht="75" customHeight="1" s="79">
      <c r="A328" s="2" t="inlineStr">
        <is>
          <t>Projeto Lei</t>
        </is>
      </c>
      <c r="B328" s="4" t="n"/>
      <c r="C328" s="2" t="inlineStr">
        <is>
          <t>4025/2024</t>
        </is>
      </c>
      <c r="D328" s="2" t="inlineStr">
        <is>
          <t>ALTERA O ANEXO DA LEI Nº 5.645, DE 06 DE JANEIRO DE 2010, INCLUINDO NO CALENDÁRIO OFICIAL DO ESTADO DO RIO DE JANEIRO, A “SEMANA ESTADUAL DE CONSCIENTIZAÇÃO E PREVENÇÃO DE DOENÇAS EM ANIMAIS DOMÉSTICOS IDOSOS”.</t>
        </is>
      </c>
      <c r="E328" s="2" t="inlineStr">
        <is>
          <t>DANNIEL LIBRELON</t>
        </is>
      </c>
      <c r="F328" s="2" t="inlineStr">
        <is>
          <t>CARLOS MACEDO</t>
        </is>
      </c>
      <c r="G328" s="10" t="n"/>
      <c r="H328" s="10" t="n"/>
      <c r="I328" s="4" t="n"/>
      <c r="J328" s="9" t="n">
        <v>46064</v>
      </c>
      <c r="K328" s="9" t="n">
        <v>46064</v>
      </c>
      <c r="L328" s="4" t="n"/>
      <c r="M328" s="4" t="n"/>
      <c r="N328" s="4" t="n"/>
      <c r="O328" s="4" t="n"/>
      <c r="P328" s="4" t="n"/>
      <c r="Q328" s="12" t="inlineStr">
        <is>
          <t>Com relator</t>
        </is>
      </c>
      <c r="R328" s="2" t="n"/>
      <c r="S328" s="4" t="n"/>
      <c r="T328" s="4" t="n"/>
      <c r="U328" s="7" t="n"/>
      <c r="V328" s="3" t="inlineStr">
        <is>
          <t>http://alerjln1.alerj.rj.gov.br/scpro2327.nsf/18c1dd68f96be3e7832566ec0018d833/df7bb319e5c90fee03258b7f004ddd4a?OpenDocument</t>
        </is>
      </c>
      <c r="W328" s="3">
        <f>RIGHT(C328, 4)</f>
        <v/>
      </c>
      <c r="X328" s="3">
        <f>LEFT(C328, LEN(C328) - 5)</f>
        <v/>
      </c>
    </row>
    <row r="329" ht="60" customHeight="1" s="79">
      <c r="A329" s="2" t="inlineStr">
        <is>
          <t>Projeto Lei</t>
        </is>
      </c>
      <c r="B329" s="4" t="n">
        <v>16</v>
      </c>
      <c r="C329" s="73" t="inlineStr">
        <is>
          <t>4115/2024</t>
        </is>
      </c>
      <c r="D329" s="2" t="inlineStr">
        <is>
          <t>ALTERA A LEI Nº 8241 DE 10 DE DEZEMBRO DE 2018, QUE OBRIGA O PODER EXECUTIVO A ENTREGAR AOS POLICIAIS CIVIS E MILITARES OS EQUIPAMENTOS QUE ESPECIFICA.</t>
        </is>
      </c>
      <c r="E329" s="2" t="inlineStr">
        <is>
          <t>INDIA ARMELAU</t>
        </is>
      </c>
      <c r="F329" s="2" t="inlineStr">
        <is>
          <t>CARLOS MACEDO</t>
        </is>
      </c>
      <c r="G329" s="10" t="inlineStr">
        <is>
          <t>FAVORÁVEL</t>
        </is>
      </c>
      <c r="H329" s="10" t="n"/>
      <c r="I329" s="4" t="inlineStr">
        <is>
          <t>PRÓXIMA</t>
        </is>
      </c>
      <c r="J329" s="9" t="n">
        <v>46064</v>
      </c>
      <c r="K329" s="9" t="n">
        <v>46064</v>
      </c>
      <c r="L329" s="9" t="n">
        <v>46169</v>
      </c>
      <c r="M329" s="4" t="n"/>
      <c r="N329" s="4" t="n"/>
      <c r="O329" s="4" t="n"/>
      <c r="P329" s="4" t="n"/>
      <c r="Q329" s="12" t="inlineStr">
        <is>
          <t>Sim</t>
        </is>
      </c>
      <c r="R329" s="2" t="n"/>
      <c r="S329" s="4" t="n"/>
      <c r="T329" s="4" t="n"/>
      <c r="U329" s="7" t="n"/>
      <c r="V329" s="3" t="inlineStr">
        <is>
          <t>http://alerjln1.alerj.rj.gov.br/scpro2327.nsf/18c1dd68f96be3e7832566ec0018d833/6bccf423d282117403258b8c0048ee15?OpenDocument</t>
        </is>
      </c>
      <c r="W329" s="3">
        <f>RIGHT(C329, 4)</f>
        <v/>
      </c>
      <c r="X329" s="3">
        <f>LEFT(C329, LEN(C329) - 5)</f>
        <v/>
      </c>
    </row>
    <row r="330" ht="105" customHeight="1" s="79">
      <c r="A330" s="2" t="inlineStr">
        <is>
          <t>Projeto Lei</t>
        </is>
      </c>
      <c r="B330" s="4" t="n">
        <v>2</v>
      </c>
      <c r="C330" s="73" t="inlineStr">
        <is>
          <t>3675/2021</t>
        </is>
      </c>
      <c r="D330" s="2" t="inlineStr">
        <is>
          <t>INSTITUI O “AUXÍLIO ESPORTES ELETRÔNICOS” PARA OS ESTUDANTES DE CURSOS ESPECIALIZADOS EM ESPORTES ELETRÔNICOS.</t>
        </is>
      </c>
      <c r="E330" s="2" t="inlineStr">
        <is>
          <t>RODRIGO AMORIM</t>
        </is>
      </c>
      <c r="F330" s="2" t="inlineStr">
        <is>
          <t>ALEXANDRE KNOPLOCH</t>
        </is>
      </c>
      <c r="G330" s="10" t="inlineStr">
        <is>
          <t>FAVORÁVEL COM A EMENDA DA COMISSÃO DE CONSTITUIÇÃO E JUSTIÇA E DA COMISSÃO DE ESPORTE E LAZER</t>
        </is>
      </c>
      <c r="H330" s="10" t="n"/>
      <c r="I330" s="4" t="inlineStr">
        <is>
          <t>PRÓXIMA</t>
        </is>
      </c>
      <c r="J330" s="9" t="n">
        <v>46064</v>
      </c>
      <c r="K330" s="9" t="n">
        <v>46064</v>
      </c>
      <c r="L330" s="9" t="n">
        <v>46106</v>
      </c>
      <c r="M330" s="4" t="n"/>
      <c r="N330" s="4" t="n"/>
      <c r="O330" s="4" t="n"/>
      <c r="P330" s="4" t="n"/>
      <c r="Q330" s="12" t="inlineStr">
        <is>
          <t>Com Relator</t>
        </is>
      </c>
      <c r="R330" s="2" t="n"/>
      <c r="S330" s="4" t="n"/>
      <c r="T330" s="4" t="n"/>
      <c r="U330" s="7" t="n"/>
      <c r="V330" s="3" t="inlineStr">
        <is>
          <t>http://alerjln1.alerj.rj.gov.br/scpro1923.nsf/18c1dd68f96be3e7832566ec0018d833/9cb6e04e4648768603258685004d2128?OpenDocument</t>
        </is>
      </c>
      <c r="W330" s="3">
        <f>RIGHT(C330, 4)</f>
        <v/>
      </c>
      <c r="X330" s="3">
        <f>LEFT(C330, LEN(C330) - 5)</f>
        <v/>
      </c>
    </row>
    <row r="331" ht="75" customHeight="1" s="79">
      <c r="A331" s="2" t="inlineStr">
        <is>
          <t>Projeto Lei</t>
        </is>
      </c>
      <c r="B331" s="4" t="n"/>
      <c r="C331" s="2" t="inlineStr">
        <is>
          <t>5049/2021</t>
        </is>
      </c>
      <c r="D331" s="2" t="inlineStr">
        <is>
          <t>ALTERA A LEI Nº 6.720, DE 24 DE MARÇO DE 2014, QUE “INSTITUI PLANO DE CARGOS, CARREIRAS E REMUNERAÇÃO DA FUNDAÇÃO DE APOIO À ESCOLA TÉCNICA DO ESTADO DO RIO DE JANEIRO – FAETEC E DÁ OUTRAS PROVIDÊNCIAS”</t>
        </is>
      </c>
      <c r="E331" s="2" t="inlineStr">
        <is>
          <t>FLAVIO SERAFINI</t>
        </is>
      </c>
      <c r="F331" s="2" t="inlineStr">
        <is>
          <t>ALEXANDRE KNOPLOCH</t>
        </is>
      </c>
      <c r="G331" s="10" t="n"/>
      <c r="H331" s="10" t="n"/>
      <c r="I331" s="4" t="n"/>
      <c r="J331" s="9" t="n">
        <v>46064</v>
      </c>
      <c r="K331" s="9" t="n">
        <v>46064</v>
      </c>
      <c r="L331" s="4" t="n"/>
      <c r="M331" s="4" t="n"/>
      <c r="N331" s="4" t="n"/>
      <c r="O331" s="4" t="n"/>
      <c r="P331" s="4" t="n"/>
      <c r="Q331" s="12" t="inlineStr">
        <is>
          <t>Com Relator</t>
        </is>
      </c>
      <c r="R331" s="2" t="n"/>
      <c r="S331" s="4" t="n"/>
      <c r="T331" s="4" t="n"/>
      <c r="U331" s="7" t="n"/>
      <c r="V331" s="3" t="inlineStr">
        <is>
          <t>http://alerjln1.alerj.rj.gov.br/scpro1923.nsf/18c1dd68f96be3e7832566ec0018d833/cfd59f6dfccd7724032587750065b9f6?OpenDocument</t>
        </is>
      </c>
      <c r="W331" s="3">
        <f>RIGHT(C331, 4)</f>
        <v/>
      </c>
      <c r="X331" s="3">
        <f>LEFT(C331, LEN(C331) - 5)</f>
        <v/>
      </c>
    </row>
    <row r="332" ht="90" customHeight="1" s="79">
      <c r="A332" s="2" t="inlineStr">
        <is>
          <t>Projeto Lei</t>
        </is>
      </c>
      <c r="B332" s="4" t="n"/>
      <c r="C332" s="2" t="inlineStr">
        <is>
          <t>EP 10/2023</t>
        </is>
      </c>
      <c r="D332" s="2" t="inlineStr">
        <is>
          <t>DETERMINA A DISPONIBILIZAÇÃO DE INFORMAÇÕES ATRAVÉS DE APLICATIVO PARA DISPOSITIVOS MÓVEIS, - “MEU ÔNIBUS”, EM TEMPO REAL, DA LOCALIZAÇÃO, DOS HORÁRIOS DAS LINHAS DE ÔNIBUS E DO NÚMERO DE VEÍCULOS DISPONÍVEIS E DÁ OUTRAS PROVIDÊNCIAS NA FORMA EM QUE MENCIONA.</t>
        </is>
      </c>
      <c r="E332" s="2" t="inlineStr">
        <is>
          <t>ROSENVERG REIS</t>
        </is>
      </c>
      <c r="F332" s="2" t="inlineStr">
        <is>
          <t>ALEXANDRE KNOPLOCH</t>
        </is>
      </c>
      <c r="G332" s="10" t="n"/>
      <c r="H332" s="10" t="n"/>
      <c r="I332" s="4" t="n"/>
      <c r="J332" s="9" t="n">
        <v>46064</v>
      </c>
      <c r="K332" s="9" t="n">
        <v>46064</v>
      </c>
      <c r="L332" s="4" t="n"/>
      <c r="M332" s="4" t="n"/>
      <c r="N332" s="4" t="n"/>
      <c r="O332" s="4" t="n"/>
      <c r="P332" s="4" t="n"/>
      <c r="Q332" s="12" t="inlineStr">
        <is>
          <t>Com Relator</t>
        </is>
      </c>
      <c r="R332" s="2" t="n"/>
      <c r="S332" s="4" t="n"/>
      <c r="T332" s="4" t="n"/>
      <c r="U332" s="7" t="n"/>
      <c r="V332" s="3" t="inlineStr">
        <is>
          <t>http://alerjln1.alerj.rj.gov.br/scpro2327.nsf/18c1dd68f96be3e7832566ec0018d833/8e1ffcf9028a89950325894a006e61df?OpenDocument</t>
        </is>
      </c>
      <c r="W332" s="3">
        <f>RIGHT(C332, 4)</f>
        <v/>
      </c>
      <c r="X332" s="3">
        <f>LEFT(C332, LEN(C332) - 5)</f>
        <v/>
      </c>
    </row>
    <row r="333" ht="60" customHeight="1" s="79">
      <c r="A333" s="2" t="inlineStr">
        <is>
          <t>Projeto Lei</t>
        </is>
      </c>
      <c r="B333" s="4" t="n">
        <v>6</v>
      </c>
      <c r="C333" s="73" t="inlineStr">
        <is>
          <t>840/2023</t>
        </is>
      </c>
      <c r="D333" s="2" t="inlineStr">
        <is>
          <t>ALTERA A LEI ESTADUAL Nº 8.614, DE 06 DE NOVEMBRO DE 2019, QUE DISPÕE SOBRE A OBRIGATORIEDADE DE DISPONIBILIZAÇÃO DO CÓDIGO QR EM TODAS AS PLACAS DE OBRAS PÚBLICAS ESTADUAIS.</t>
        </is>
      </c>
      <c r="E333" s="2" t="inlineStr">
        <is>
          <t>JORGE FELIPPE NETO</t>
        </is>
      </c>
      <c r="F333" s="2" t="inlineStr">
        <is>
          <t>ALEXANDRE KNOPLOCH</t>
        </is>
      </c>
      <c r="G333" s="10" t="inlineStr">
        <is>
          <t>FAVORÁVEL</t>
        </is>
      </c>
      <c r="H333" s="10" t="n"/>
      <c r="I333" s="4" t="inlineStr">
        <is>
          <t>PRÓXIMA</t>
        </is>
      </c>
      <c r="J333" s="9" t="n">
        <v>46064</v>
      </c>
      <c r="K333" s="9" t="n">
        <v>46064</v>
      </c>
      <c r="L333" s="9" t="n">
        <v>46079</v>
      </c>
      <c r="M333" s="4" t="n"/>
      <c r="N333" s="4" t="n"/>
      <c r="O333" s="4" t="n"/>
      <c r="P333" s="4" t="n"/>
      <c r="Q333" s="12" t="inlineStr">
        <is>
          <t>Sim</t>
        </is>
      </c>
      <c r="R333" s="2" t="n"/>
      <c r="S333" s="4" t="n"/>
      <c r="T333" s="4" t="n"/>
      <c r="U333" s="7" t="n"/>
      <c r="V333" s="3" t="inlineStr">
        <is>
          <t>http://alerjln1.alerj.rj.gov.br/scpro2327.nsf/18c1dd68f96be3e7832566ec0018d833/5a0f33e769127fc70325899d005494da?OpenDocument</t>
        </is>
      </c>
      <c r="W333" s="3">
        <f>RIGHT(C333, 4)</f>
        <v/>
      </c>
      <c r="X333" s="3">
        <f>LEFT(C333, LEN(C333) - 5)</f>
        <v/>
      </c>
    </row>
    <row r="334" ht="75" customHeight="1" s="79">
      <c r="A334" s="2" t="inlineStr">
        <is>
          <t>Projeto Lei</t>
        </is>
      </c>
      <c r="B334" s="4" t="n"/>
      <c r="C334" s="2" t="inlineStr">
        <is>
          <t>2011/2023</t>
        </is>
      </c>
      <c r="D334" s="2" t="inlineStr">
        <is>
          <t>ALTERA A LEI 5.645 DE 06 DE JANEIRO DE 2010, PARA INCLUIR NO CALENDÁRIO DO ESTADO DO RIO DE JANEIRO A SEMANA ESTADUAL EM CELEBRAÇÃO E DEFESA DAS UNIVERSIDADES PÚBLICAS FEDERAIS DO ESTADO DO RIO DE JANEIRO.</t>
        </is>
      </c>
      <c r="E334" s="2" t="inlineStr">
        <is>
          <t>MARINA DO MST</t>
        </is>
      </c>
      <c r="F334" s="2" t="inlineStr">
        <is>
          <t>ALEXANDRE KNOPLOCH</t>
        </is>
      </c>
      <c r="G334" s="10" t="n"/>
      <c r="H334" s="10" t="n"/>
      <c r="I334" s="4" t="n"/>
      <c r="J334" s="9" t="n">
        <v>46064</v>
      </c>
      <c r="K334" s="9" t="n">
        <v>46064</v>
      </c>
      <c r="L334" s="4" t="n"/>
      <c r="M334" s="4" t="n"/>
      <c r="N334" s="4" t="n"/>
      <c r="O334" s="4" t="n"/>
      <c r="P334" s="4" t="n"/>
      <c r="Q334" s="12" t="inlineStr">
        <is>
          <t>Com Relator</t>
        </is>
      </c>
      <c r="R334" s="2" t="n"/>
      <c r="S334" s="4" t="n"/>
      <c r="T334" s="4" t="n"/>
      <c r="U334" s="7" t="n"/>
      <c r="V334" s="3" t="inlineStr">
        <is>
          <t>http://alerjln1.alerj.rj.gov.br/scpro2327.nsf/18c1dd68f96be3e7832566ec0018d833/a74a6db37806648903258a2800603f68?OpenDocument</t>
        </is>
      </c>
      <c r="W334" s="3">
        <f>RIGHT(C334, 4)</f>
        <v/>
      </c>
      <c r="X334" s="3">
        <f>LEFT(C334, LEN(C334) - 5)</f>
        <v/>
      </c>
    </row>
    <row r="335" ht="75" customHeight="1" s="79">
      <c r="A335" s="2" t="inlineStr">
        <is>
          <t>Projeto Lei</t>
        </is>
      </c>
      <c r="B335" s="4" t="n">
        <v>9</v>
      </c>
      <c r="C335" s="73" t="inlineStr">
        <is>
          <t>2726/2023</t>
        </is>
      </c>
      <c r="D335" s="2" t="inlineStr">
        <is>
          <t>ESTABELECE A OBRIGATORIEDADE DE ATENDIMENTO RESERVADO À VÍTIMA DE CRIME CIBERNÉTICO, DE QUE RESULTE VIOLÊNCIA EM TODAS AS DELEGACIAS POLICIAIS DO ESTADO DO RIO DE JANEIRO.</t>
        </is>
      </c>
      <c r="E335" s="2" t="inlineStr">
        <is>
          <t>COMISSÃO PARLAMENTAR DE INQUÉRITO INSTITUÍDA PELA RESOLUÇÃO Nº 31/2023</t>
        </is>
      </c>
      <c r="F335" s="2" t="inlineStr">
        <is>
          <t>ALEXANDRE KNOPLOCH</t>
        </is>
      </c>
      <c r="G335" s="10" t="inlineStr">
        <is>
          <t>FAVORÁVEL COM A EMENDA DA COMISSÃO DE CONSTITUIÇÃO E JUSTIÇA</t>
        </is>
      </c>
      <c r="H335" s="10" t="n"/>
      <c r="I335" s="4" t="inlineStr">
        <is>
          <t>PRÓXIMA</t>
        </is>
      </c>
      <c r="J335" s="9" t="n">
        <v>46064</v>
      </c>
      <c r="K335" s="9" t="n">
        <v>46064</v>
      </c>
      <c r="L335" s="9" t="n">
        <v>46079</v>
      </c>
      <c r="M335" s="4" t="n"/>
      <c r="N335" s="4" t="n"/>
      <c r="O335" s="4" t="n"/>
      <c r="P335" s="4" t="n"/>
      <c r="Q335" s="12" t="inlineStr">
        <is>
          <t>Sim</t>
        </is>
      </c>
      <c r="R335" s="2" t="n"/>
      <c r="S335" s="4" t="n"/>
      <c r="T335" s="4" t="n"/>
      <c r="U335" s="7" t="n"/>
      <c r="V335" s="3" t="inlineStr">
        <is>
          <t>http://alerjln1.alerj.rj.gov.br/scpro2327.nsf/18c1dd68f96be3e7832566ec0018d833/11743b8bbec3775e03258a7c006f9859?OpenDocument</t>
        </is>
      </c>
      <c r="W335" s="3">
        <f>RIGHT(C335, 4)</f>
        <v/>
      </c>
      <c r="X335" s="3">
        <f>LEFT(C335, LEN(C335) - 5)</f>
        <v/>
      </c>
    </row>
    <row r="336" ht="45" customHeight="1" s="79">
      <c r="A336" s="2" t="inlineStr">
        <is>
          <t>Projeto Lei</t>
        </is>
      </c>
      <c r="B336" s="4" t="n">
        <v>10</v>
      </c>
      <c r="C336" s="73" t="inlineStr">
        <is>
          <t>4083/2024</t>
        </is>
      </c>
      <c r="D336" s="2" t="inlineStr">
        <is>
          <t>INSTITUI A POLÍTICA ESTADUAL DE ATENÇÃO INTEGRAL AO PACIENTE INFECTADO PELO VÍRUS MONKEYPOX (MPXV).</t>
        </is>
      </c>
      <c r="E336" s="2" t="inlineStr">
        <is>
          <t>RODRIGO AMORIM</t>
        </is>
      </c>
      <c r="F336" s="2" t="inlineStr">
        <is>
          <t>ALEXANDRE KNOPLOCH</t>
        </is>
      </c>
      <c r="G336" s="10" t="inlineStr">
        <is>
          <t>FAVORÁVEL</t>
        </is>
      </c>
      <c r="H336" s="10" t="n"/>
      <c r="I336" s="4" t="inlineStr">
        <is>
          <t>PRÓXIMA</t>
        </is>
      </c>
      <c r="J336" s="9" t="n">
        <v>46064</v>
      </c>
      <c r="K336" s="9" t="n">
        <v>46064</v>
      </c>
      <c r="L336" s="9" t="n">
        <v>46106</v>
      </c>
      <c r="M336" s="4" t="n"/>
      <c r="N336" s="4" t="n"/>
      <c r="O336" s="4" t="n"/>
      <c r="P336" s="4" t="n"/>
      <c r="Q336" s="12" t="inlineStr">
        <is>
          <t>Com Relator</t>
        </is>
      </c>
      <c r="R336" s="2" t="n"/>
      <c r="S336" s="4" t="n"/>
      <c r="T336" s="4" t="n"/>
      <c r="U336" s="7" t="n"/>
      <c r="V336" s="3" t="inlineStr">
        <is>
          <t>http://alerjln1.alerj.rj.gov.br/scpro2327.nsf/18c1dd68f96be3e7832566ec0018d833/4b590aa5b3ac722003258b870054442f?OpenDocument</t>
        </is>
      </c>
      <c r="W336" s="3">
        <f>RIGHT(C336, 4)</f>
        <v/>
      </c>
      <c r="X336" s="3">
        <f>LEFT(C336, LEN(C336) - 5)</f>
        <v/>
      </c>
    </row>
    <row r="337" ht="75" customHeight="1" s="79">
      <c r="A337" s="2" t="inlineStr">
        <is>
          <t>Projeto Lei</t>
        </is>
      </c>
      <c r="B337" s="4" t="n">
        <v>18</v>
      </c>
      <c r="C337" s="73" t="inlineStr">
        <is>
          <t>1642/2019</t>
        </is>
      </c>
      <c r="D337" s="2" t="inlineStr">
        <is>
          <t>FICAM AS UNIDADES DE SAÚDE DA REDE PÚBLICA E PRIVADA OBRIGADAS A GARANTIR OS DIREITOS DE MULHERES QUE SOFRAM PERDA GESTACIONAL.</t>
        </is>
      </c>
      <c r="E337" s="2" t="inlineStr">
        <is>
          <t>COMISSÃO PARLAMENTAR DE INQUÉRITO INSTITUÍDA PELA RESOLUÇÃO Nº 05/2019</t>
        </is>
      </c>
      <c r="F337" s="2" t="inlineStr">
        <is>
          <t>VINICIUS COZZOLINO</t>
        </is>
      </c>
      <c r="G337" s="10" t="inlineStr">
        <is>
          <t>FAVORÁVEL COM AS EMENDAS DA COMISSÃO DE CONSTITUIÇÃO E JUSTIÇA</t>
        </is>
      </c>
      <c r="H337" s="10" t="n"/>
      <c r="I337" s="4" t="inlineStr">
        <is>
          <t>PRÓXIMA</t>
        </is>
      </c>
      <c r="J337" s="9" t="n">
        <v>46077</v>
      </c>
      <c r="K337" s="9" t="n">
        <v>46091</v>
      </c>
      <c r="L337" s="9" t="n">
        <v>46118</v>
      </c>
      <c r="M337" s="4" t="n"/>
      <c r="N337" s="4" t="n"/>
      <c r="O337" s="4" t="n"/>
      <c r="P337" s="4" t="n"/>
      <c r="Q337" s="12" t="inlineStr">
        <is>
          <t>Sim</t>
        </is>
      </c>
      <c r="R337" s="2" t="n"/>
      <c r="S337" s="4" t="n"/>
      <c r="T337" s="4" t="n"/>
      <c r="U337" s="7" t="n"/>
      <c r="V337" s="3" t="inlineStr">
        <is>
          <t>http://alerjln1.alerj.rj.gov.br/scpro1923.nsf/18c1dd68f96be3e7832566ec0018d833/d0b5d921245ab083832584b000671131?OpenDocument</t>
        </is>
      </c>
      <c r="W337" s="3">
        <f>RIGHT(C337, 4)</f>
        <v/>
      </c>
      <c r="X337" s="3">
        <f>LEFT(C337, LEN(C337) - 5)</f>
        <v/>
      </c>
    </row>
    <row r="338" ht="45" customHeight="1" s="79">
      <c r="A338" s="2" t="inlineStr">
        <is>
          <t>Projeto Lei</t>
        </is>
      </c>
      <c r="B338" s="4" t="n">
        <v>7</v>
      </c>
      <c r="C338" s="73" t="inlineStr">
        <is>
          <t>854/2023</t>
        </is>
      </c>
      <c r="D338" s="2" t="inlineStr">
        <is>
          <t>DISPÕE SOBRE O FORNECIMENTO DE FONE ANTIRRUÍDO PARA PESSOAS COM TRANSTORNO DO ESPECTRO AUTISTA (TEA).</t>
        </is>
      </c>
      <c r="E338" s="2" t="inlineStr">
        <is>
          <t>DANNIEL LIBRELON</t>
        </is>
      </c>
      <c r="F338" s="2" t="inlineStr">
        <is>
          <t>ALEXANDRE KNOPLOCH</t>
        </is>
      </c>
      <c r="G338" s="10" t="inlineStr">
        <is>
          <t>FAVORÁVEL</t>
        </is>
      </c>
      <c r="H338" s="10" t="n"/>
      <c r="I338" s="4" t="inlineStr">
        <is>
          <t>PRÓXIMA</t>
        </is>
      </c>
      <c r="J338" s="9" t="n">
        <v>46077</v>
      </c>
      <c r="K338" s="9" t="n">
        <v>46091</v>
      </c>
      <c r="L338" s="9" t="n">
        <v>46106</v>
      </c>
      <c r="M338" s="4" t="n"/>
      <c r="N338" s="4" t="n"/>
      <c r="O338" s="4" t="n"/>
      <c r="P338" s="4" t="n"/>
      <c r="Q338" s="12" t="inlineStr">
        <is>
          <t>Sim</t>
        </is>
      </c>
      <c r="R338" s="2" t="n"/>
      <c r="S338" s="4" t="n"/>
      <c r="T338" s="4" t="n"/>
      <c r="U338" s="7" t="n"/>
      <c r="V338" s="3" t="inlineStr">
        <is>
          <t>http://alerjln1.alerj.rj.gov.br/scpro2327.nsf/18c1dd68f96be3e7832566ec0018d833/c8b949352c2d2f700325899d0067ee85?OpenDocument</t>
        </is>
      </c>
      <c r="W338" s="3">
        <f>RIGHT(C338, 4)</f>
        <v/>
      </c>
      <c r="X338" s="3">
        <f>LEFT(C338, LEN(C338) - 5)</f>
        <v/>
      </c>
    </row>
    <row r="339" ht="30" customHeight="1" s="79">
      <c r="A339" s="2" t="inlineStr">
        <is>
          <t>Projeto Lei</t>
        </is>
      </c>
      <c r="B339" s="4" t="n"/>
      <c r="C339" s="2" t="inlineStr">
        <is>
          <t>986/2023</t>
        </is>
      </c>
      <c r="D339" s="2" t="inlineStr">
        <is>
          <t>ALTERA A LEI Nº8581, DE 24 DE OUTUBRO DE 2019, NA FORMA QUE MENCIONA.</t>
        </is>
      </c>
      <c r="E339" s="2" t="inlineStr">
        <is>
          <t>VITOR JUNIOR</t>
        </is>
      </c>
      <c r="F339" s="2" t="inlineStr">
        <is>
          <t>ALEXANDRE KNOPLOCH</t>
        </is>
      </c>
      <c r="G339" s="10" t="n"/>
      <c r="H339" s="10" t="n"/>
      <c r="I339" s="4" t="n"/>
      <c r="J339" s="9" t="n">
        <v>46077</v>
      </c>
      <c r="K339" s="9" t="n">
        <v>46091</v>
      </c>
      <c r="L339" s="4" t="n"/>
      <c r="M339" s="4" t="n"/>
      <c r="N339" s="4" t="n"/>
      <c r="O339" s="4" t="n"/>
      <c r="P339" s="4" t="n"/>
      <c r="Q339" s="12" t="inlineStr">
        <is>
          <t>Sim</t>
        </is>
      </c>
      <c r="R339" s="2" t="n"/>
      <c r="S339" s="4" t="n"/>
      <c r="T339" s="4" t="n"/>
      <c r="U339" s="7" t="n"/>
      <c r="V339" s="3" t="inlineStr">
        <is>
          <t>http://alerjln1.alerj.rj.gov.br/scpro2327.nsf/18c1dd68f96be3e7832566ec0018d833/89d08aa47f6ec990032589ab004ce037?OpenDocument</t>
        </is>
      </c>
      <c r="W339" s="3">
        <f>RIGHT(C339, 4)</f>
        <v/>
      </c>
      <c r="X339" s="3">
        <f>LEFT(C339, LEN(C339) - 5)</f>
        <v/>
      </c>
    </row>
    <row r="340" ht="45" customHeight="1" s="79">
      <c r="A340" s="2" t="inlineStr">
        <is>
          <t>Projeto Lei</t>
        </is>
      </c>
      <c r="B340" s="4" t="n"/>
      <c r="C340" s="2" t="inlineStr">
        <is>
          <t>3565/2024</t>
        </is>
      </c>
      <c r="D340" s="2" t="inlineStr">
        <is>
          <t>CRIA O PROGRAMA “GAMETERAPIA INCLUSIVA”, PARA PESSOAS COM DEFICIÊNCIA, SÍNDROMES E/OU TRANSTORNO DO ESPECTRO AUTISTA – TEA.</t>
        </is>
      </c>
      <c r="E340" s="2" t="inlineStr">
        <is>
          <t>THIAGO GAGLIASSO</t>
        </is>
      </c>
      <c r="F340" s="2" t="inlineStr">
        <is>
          <t>ALEXANDRE KNOPLOCH</t>
        </is>
      </c>
      <c r="G340" s="10" t="n"/>
      <c r="H340" s="10" t="n"/>
      <c r="I340" s="4" t="n"/>
      <c r="J340" s="9" t="n">
        <v>46077</v>
      </c>
      <c r="K340" s="9" t="n">
        <v>46091</v>
      </c>
      <c r="L340" s="4" t="n"/>
      <c r="M340" s="4" t="n"/>
      <c r="N340" s="4" t="n"/>
      <c r="O340" s="4" t="n"/>
      <c r="P340" s="4" t="n"/>
      <c r="Q340" s="12" t="inlineStr">
        <is>
          <t>Sim</t>
        </is>
      </c>
      <c r="R340" s="2" t="n"/>
      <c r="S340" s="4" t="n"/>
      <c r="T340" s="4" t="n"/>
      <c r="U340" s="7" t="n"/>
      <c r="V340" s="3" t="inlineStr">
        <is>
          <t>http://alerjln1.alerj.rj.gov.br/scpro2327.nsf/18c1dd68f96be3e7832566ec0018d833/8d74c2a21af66a6b03258b1d0063fa9c?OpenDocument</t>
        </is>
      </c>
      <c r="W340" s="3">
        <f>RIGHT(C340, 4)</f>
        <v/>
      </c>
      <c r="X340" s="3">
        <f>LEFT(C340, LEN(C340) - 5)</f>
        <v/>
      </c>
    </row>
    <row r="341" ht="45" customHeight="1" s="79">
      <c r="A341" s="2" t="inlineStr">
        <is>
          <t>Projeto Lei</t>
        </is>
      </c>
      <c r="B341" s="4" t="n"/>
      <c r="C341" s="2" t="inlineStr">
        <is>
          <t>4162/2024</t>
        </is>
      </c>
      <c r="D341" s="2" t="inlineStr">
        <is>
          <t>DISPÕE SOBRE A GRATUIDADE NA OBTENÇÃO DA SEGUNDA VIA DO VALE SOCIAL, PARA PESSOA COM DEFICIÊNCIA-PCD.</t>
        </is>
      </c>
      <c r="E341" s="2" t="inlineStr">
        <is>
          <t>FRED PACHECO</t>
        </is>
      </c>
      <c r="F341" s="2" t="inlineStr">
        <is>
          <t>ALEXANDRE KNOPLOCH</t>
        </is>
      </c>
      <c r="G341" s="10" t="n"/>
      <c r="H341" s="10" t="n"/>
      <c r="I341" s="4" t="n"/>
      <c r="J341" s="9" t="n">
        <v>46087</v>
      </c>
      <c r="K341" s="9" t="n">
        <v>46091</v>
      </c>
      <c r="L341" s="4" t="n"/>
      <c r="M341" s="4" t="n"/>
      <c r="N341" s="4" t="n"/>
      <c r="O341" s="4" t="n"/>
      <c r="P341" s="4" t="n"/>
      <c r="Q341" s="12" t="inlineStr">
        <is>
          <t>Sim</t>
        </is>
      </c>
      <c r="R341" s="2" t="n"/>
      <c r="S341" s="4" t="n"/>
      <c r="T341" s="4" t="n"/>
      <c r="U341" s="7" t="n"/>
      <c r="V341" s="3" t="inlineStr">
        <is>
          <t>http://alerjln1.alerj.rj.gov.br/scpro2327.nsf/18c1dd68f96be3e7832566ec0018d833/dbf9f896a22a1f8703258b9b0055d4c2?OpenDocument</t>
        </is>
      </c>
      <c r="W341" s="3">
        <f>RIGHT(C341, 4)</f>
        <v/>
      </c>
      <c r="X341" s="3">
        <f>LEFT(C341, LEN(C341) - 5)</f>
        <v/>
      </c>
    </row>
    <row r="342" ht="45" customHeight="1" s="79">
      <c r="A342" s="2" t="inlineStr">
        <is>
          <t>Projeto Lei</t>
        </is>
      </c>
      <c r="B342" s="4" t="n"/>
      <c r="C342" s="2" t="inlineStr">
        <is>
          <t>4547/2024</t>
        </is>
      </c>
      <c r="D342" s="2" t="inlineStr">
        <is>
          <t>ALTERA A LEI Nº 2470 DE 28 DE NOVEMBRO DE 1995, QUE INSTITUIU O PROGRAMA ESTADUAL DE DESESTATIZAÇÃO – PED.</t>
        </is>
      </c>
      <c r="E342" s="2" t="inlineStr">
        <is>
          <t>LUIZ PAULO</t>
        </is>
      </c>
      <c r="F342" s="2" t="inlineStr">
        <is>
          <t>ALEXANDRE KNOPLOCH</t>
        </is>
      </c>
      <c r="G342" s="10" t="n"/>
      <c r="H342" s="10" t="n"/>
      <c r="I342" s="4" t="n"/>
      <c r="J342" s="9" t="n">
        <v>46087</v>
      </c>
      <c r="K342" s="9" t="n">
        <v>46091</v>
      </c>
      <c r="L342" s="4" t="n"/>
      <c r="M342" s="4" t="n"/>
      <c r="N342" s="4" t="n"/>
      <c r="O342" s="4" t="n"/>
      <c r="P342" s="4" t="n"/>
      <c r="Q342" s="12" t="inlineStr">
        <is>
          <t>Sim</t>
        </is>
      </c>
      <c r="R342" s="2" t="n"/>
      <c r="S342" s="4" t="n"/>
      <c r="T342" s="4" t="n"/>
      <c r="U342" s="7" t="n"/>
      <c r="V342" s="3" t="inlineStr">
        <is>
          <t>http://alerjln1.alerj.rj.gov.br/scpro2327.nsf/18c1dd68f96be3e7832566ec0018d833/21b753d5f5ae8ac503258bf50059424f?OpenDocument</t>
        </is>
      </c>
      <c r="W342" s="3">
        <f>RIGHT(C342, 4)</f>
        <v/>
      </c>
      <c r="X342" s="3">
        <f>LEFT(C342, LEN(C342) - 5)</f>
        <v/>
      </c>
    </row>
    <row r="343" ht="45" customHeight="1" s="79">
      <c r="A343" s="2" t="inlineStr">
        <is>
          <t>Projeto Lei</t>
        </is>
      </c>
      <c r="B343" s="4" t="n"/>
      <c r="C343" s="2" t="inlineStr">
        <is>
          <t>6192/2022</t>
        </is>
      </c>
      <c r="D343" s="2" t="inlineStr">
        <is>
          <t>INSTITUI A SEMANA PARA O COMBATE AO ABUSO SEXUAL E VIOLÊNCIA CONTRA A MULHER NAS ESCOLAS DO RIO DE JANEIRO.</t>
        </is>
      </c>
      <c r="E343" s="2" t="inlineStr">
        <is>
          <t>DANI MONTEIRO</t>
        </is>
      </c>
      <c r="F343" s="18" t="inlineStr">
        <is>
          <t>ANDRÉ CORRÊA</t>
        </is>
      </c>
      <c r="G343" s="10" t="n"/>
      <c r="H343" s="10" t="n"/>
      <c r="I343" s="4" t="inlineStr">
        <is>
          <t>PLENÁRIO</t>
        </is>
      </c>
      <c r="J343" s="9" t="n"/>
      <c r="K343" s="4" t="n"/>
      <c r="L343" s="9" t="n">
        <v>46091</v>
      </c>
      <c r="M343" s="9" t="n">
        <v>46091</v>
      </c>
      <c r="N343" s="4" t="n"/>
      <c r="O343" s="4" t="n"/>
      <c r="P343" s="4" t="n"/>
      <c r="Q343" s="12" t="inlineStr">
        <is>
          <t>Não</t>
        </is>
      </c>
      <c r="R343" s="2" t="inlineStr">
        <is>
          <t>Estava no relator desde 2024.
Não teve parecer porque foi direto a plenário em 12/03/2026</t>
        </is>
      </c>
      <c r="S343" s="4" t="n"/>
      <c r="T343" s="4" t="n"/>
      <c r="U343" s="7" t="n"/>
      <c r="V343" s="3" t="inlineStr">
        <is>
          <t>http://alerjln1.alerj.rj.gov.br/scpro1923.nsf/18c1dd68f96be3e7832566ec0018d833/9d6280b12b1f38b5032588710066cfe4?OpenDocument</t>
        </is>
      </c>
      <c r="W343" s="3">
        <f>RIGHT(C343, 4)</f>
        <v/>
      </c>
      <c r="X343" s="3">
        <f>LEFT(C343, LEN(C343) - 5)</f>
        <v/>
      </c>
    </row>
    <row r="344" ht="75" customHeight="1" s="79">
      <c r="A344" s="2" t="inlineStr">
        <is>
          <t>Projeto Lei</t>
        </is>
      </c>
      <c r="B344" s="4" t="n">
        <v>17</v>
      </c>
      <c r="C344" s="73" t="inlineStr">
        <is>
          <t>1811/2016</t>
        </is>
      </c>
      <c r="D344" s="2" t="inlineStr">
        <is>
          <t>DISPÕE SOBRE A CRIAÇÃO DO REGIME DE EXCEPCIONALIDADE NOS CONTRATOS E CONVÊNIOS QUE CONTEMPLAM ENTIDADES QUE ATENDAM CRIANÇAS E ADOLESCENTES NO ÂMBITO DO ESTADO DO RIO DE JANEIRO.</t>
        </is>
      </c>
      <c r="E344" s="2" t="inlineStr">
        <is>
          <t>MARCIO PACHECO,TIA JU</t>
        </is>
      </c>
      <c r="F344" s="18" t="inlineStr">
        <is>
          <t>VINICIUS COZZOLINO</t>
        </is>
      </c>
      <c r="G344" s="10" t="inlineStr">
        <is>
          <t>FAVORÁVEL AO SUBSTITUTIVO DA COMISSÃO DE CONSTITUIÇÃO E JUSTIÇA</t>
        </is>
      </c>
      <c r="H344" s="10" t="n"/>
      <c r="I344" s="4" t="inlineStr">
        <is>
          <t>PRÓXIMA</t>
        </is>
      </c>
      <c r="J344" s="9" t="n">
        <v>46091</v>
      </c>
      <c r="K344" s="9" t="n">
        <v>46091</v>
      </c>
      <c r="L344" s="9" t="n">
        <v>46118</v>
      </c>
      <c r="M344" s="4" t="n"/>
      <c r="N344" s="4" t="n"/>
      <c r="O344" s="4" t="n"/>
      <c r="P344" s="4" t="n"/>
      <c r="Q344" s="12" t="inlineStr">
        <is>
          <t>Sim</t>
        </is>
      </c>
      <c r="R344" s="2" t="n"/>
      <c r="S344" s="4" t="n"/>
      <c r="T344" s="4" t="n"/>
      <c r="U344" s="7" t="n"/>
      <c r="V344" s="3" t="inlineStr">
        <is>
          <t>http://alerjln1.alerj.rj.gov.br/scpro1519.nsf/18c1dd68f96be3e7832566ec0018d833/95f99dad67f5d5bd83257fb800678bb1?OpenDocument</t>
        </is>
      </c>
      <c r="W344" s="3">
        <f>RIGHT(C344, 4)</f>
        <v/>
      </c>
      <c r="X344" s="3">
        <f>LEFT(C344, LEN(C344) - 5)</f>
        <v/>
      </c>
    </row>
    <row r="345" ht="105" customHeight="1" s="79">
      <c r="A345" s="2" t="inlineStr">
        <is>
          <t>Projeto Lei</t>
        </is>
      </c>
      <c r="B345" s="4" t="n">
        <v>19</v>
      </c>
      <c r="C345" s="73" t="inlineStr">
        <is>
          <t>2788/2020</t>
        </is>
      </c>
      <c r="D345" s="2" t="inlineStr">
        <is>
          <t>ESTABELECE DIRETRIZES PARA A PROMOÇÃO DE CONSCIENTIZAÇÃO SOBRE BONS TRATOS AOS ANIMAIS NA REDE DE ENSINO PÚBLICO E PRIVADO NO ESTADO DO RIO DE JANEIRO.</t>
        </is>
      </c>
      <c r="E345" s="2" t="inlineStr">
        <is>
          <t>DANNIEL LIBRELON</t>
        </is>
      </c>
      <c r="F345" s="18" t="inlineStr">
        <is>
          <t>VINICIUS COZZOLINO</t>
        </is>
      </c>
      <c r="G345" s="10" t="inlineStr">
        <is>
          <t>FAVORÁVEL COM EMENDAS, INCLUSIVE COM AS EMENDAS DA COMISSÃO DE CONSTITUIÇÃO E JUSTIÇA</t>
        </is>
      </c>
      <c r="H345" s="10" t="n"/>
      <c r="I345" s="4" t="inlineStr">
        <is>
          <t>PRÓXIMA</t>
        </is>
      </c>
      <c r="J345" s="9" t="n">
        <v>46091</v>
      </c>
      <c r="K345" s="9" t="n">
        <v>46091</v>
      </c>
      <c r="L345" s="9" t="n">
        <v>46118</v>
      </c>
      <c r="M345" s="4" t="n"/>
      <c r="N345" s="4" t="n"/>
      <c r="O345" s="4" t="n"/>
      <c r="P345" s="4" t="n"/>
      <c r="Q345" s="12" t="inlineStr">
        <is>
          <t>Sim</t>
        </is>
      </c>
      <c r="R345" s="2" t="n"/>
      <c r="S345" s="4" t="n"/>
      <c r="T345" s="4" t="n"/>
      <c r="U345" s="7" t="n"/>
      <c r="V345" s="3" t="inlineStr">
        <is>
          <t>http://alerjln1.alerj.rj.gov.br/scpro1923.nsf/18c1dd68f96be3e7832566ec0018d833/a7e6efd52f533808032585910054fbf6?OpenDocument</t>
        </is>
      </c>
      <c r="W345" s="3">
        <f>RIGHT(C345, 4)</f>
        <v/>
      </c>
      <c r="X345" s="3">
        <f>LEFT(C345, LEN(C345) - 5)</f>
        <v/>
      </c>
    </row>
    <row r="346" ht="105" customHeight="1" s="79">
      <c r="A346" s="2" t="inlineStr">
        <is>
          <t>Projeto Lei</t>
        </is>
      </c>
      <c r="B346" s="4" t="n">
        <v>20</v>
      </c>
      <c r="C346" s="73" t="inlineStr">
        <is>
          <t>2836/2020</t>
        </is>
      </c>
      <c r="D346" s="2" t="inlineStr">
        <is>
          <t>DISPÕE SOBRE A OBRIGATORIEDADE DA CIRURGIA PLÁSTICA RECONSTRUTIVA TOTAL OU PARCIAL, ATRAVÉS DE PRÓTESE TESTICULAR, PELA REDE DE UNIDADES INTEGRANTES DO SISTEMA ÚNICO DE SAÚDE - SUS -, NOS CASOS DE MUTILAÇÃO DO	TESTÍCULO, DECORRENTES DE TRATAMENTO DE CÂNCER NO ÂMBITO DO ESTADO DO RIO DE JANEIRO.</t>
        </is>
      </c>
      <c r="E346" s="2" t="inlineStr">
        <is>
          <t>DANNIEL LIBRELON</t>
        </is>
      </c>
      <c r="F346" s="18" t="inlineStr">
        <is>
          <t>VINICIUS COZZOLINO</t>
        </is>
      </c>
      <c r="G346" s="10" t="inlineStr">
        <is>
          <t>FAVORÁVEL</t>
        </is>
      </c>
      <c r="H346" s="10" t="n"/>
      <c r="I346" s="4" t="inlineStr">
        <is>
          <t>PRÓXIMA</t>
        </is>
      </c>
      <c r="J346" s="9" t="n">
        <v>46091</v>
      </c>
      <c r="K346" s="9" t="n">
        <v>46091</v>
      </c>
      <c r="L346" s="9" t="n">
        <v>46118</v>
      </c>
      <c r="M346" s="4" t="n"/>
      <c r="N346" s="4" t="n"/>
      <c r="O346" s="4" t="n"/>
      <c r="P346" s="4" t="n"/>
      <c r="Q346" s="12" t="inlineStr">
        <is>
          <t>Sim</t>
        </is>
      </c>
      <c r="R346" s="2" t="n"/>
      <c r="S346" s="4" t="n"/>
      <c r="T346" s="4" t="n"/>
      <c r="U346" s="7" t="n"/>
      <c r="V346" s="3" t="inlineStr">
        <is>
          <t>http://alerjln1.alerj.rj.gov.br/scpro1923.nsf/18c1dd68f96be3e7832566ec0018d833/440f2a6ef3ab94fd0325859e0050b8d2?OpenDocument</t>
        </is>
      </c>
      <c r="W346" s="3">
        <f>RIGHT(C346, 4)</f>
        <v/>
      </c>
      <c r="X346" s="3">
        <f>LEFT(C346, LEN(C346) - 5)</f>
        <v/>
      </c>
    </row>
    <row r="347" ht="75" customHeight="1" s="79">
      <c r="A347" s="2" t="inlineStr">
        <is>
          <t>Projeto Lei</t>
        </is>
      </c>
      <c r="B347" s="4" t="n">
        <v>22</v>
      </c>
      <c r="C347" s="73" t="inlineStr">
        <is>
          <t>5335/2022</t>
        </is>
      </c>
      <c r="D347" s="2" t="inlineStr">
        <is>
          <t>DISPÕE SOBRE A POLÍTICA DE TRATAMENTO ESPECIALIZADO E ASSISTÊNCIA ESPECÍFICA PARA AS PESSOAS DIAGNOSTICADAS COM TRANSTORNO DE PERSONALIDADE NARCISISTA - TPN, NO ÂMBITO DO ESTADO DO RIO DE JANEIRO.</t>
        </is>
      </c>
      <c r="E347" s="2" t="inlineStr">
        <is>
          <t>DANNIEL LIBRELON</t>
        </is>
      </c>
      <c r="F347" s="18" t="inlineStr">
        <is>
          <t>VINICIUS COZZOLINO</t>
        </is>
      </c>
      <c r="G347" s="10" t="inlineStr">
        <is>
          <t>FAVORÁVEL COM AS EMENDAS DA COMISSÃO DE CONSTITUIÇÃO E JUSTIÇA</t>
        </is>
      </c>
      <c r="H347" s="10" t="n"/>
      <c r="I347" s="4" t="inlineStr">
        <is>
          <t>PRÓXIMA</t>
        </is>
      </c>
      <c r="J347" s="9" t="n">
        <v>46091</v>
      </c>
      <c r="K347" s="9" t="n">
        <v>46091</v>
      </c>
      <c r="L347" s="9" t="n">
        <v>46118</v>
      </c>
      <c r="M347" s="4" t="n"/>
      <c r="N347" s="4" t="n"/>
      <c r="O347" s="4" t="n"/>
      <c r="P347" s="4" t="n"/>
      <c r="Q347" s="12" t="inlineStr">
        <is>
          <t>Sim</t>
        </is>
      </c>
      <c r="R347" s="2" t="n"/>
      <c r="S347" s="4" t="n"/>
      <c r="T347" s="4" t="n"/>
      <c r="U347" s="7" t="n"/>
      <c r="V347" s="3" t="inlineStr">
        <is>
          <t>http://alerjln1.alerj.rj.gov.br/scpro1923.nsf/18c1dd68f96be3e7832566ec0018d833/c2c24857d2e16409032587de006bdccf?OpenDocument</t>
        </is>
      </c>
      <c r="W347" s="3">
        <f>RIGHT(C347, 4)</f>
        <v/>
      </c>
      <c r="X347" s="3">
        <f>LEFT(C347, LEN(C347) - 5)</f>
        <v/>
      </c>
    </row>
    <row r="348" ht="75" customHeight="1" s="79">
      <c r="A348" s="2" t="inlineStr">
        <is>
          <t>Projeto Lei</t>
        </is>
      </c>
      <c r="B348" s="4" t="n">
        <v>30</v>
      </c>
      <c r="C348" s="73" t="inlineStr">
        <is>
          <t>4068/2024</t>
        </is>
      </c>
      <c r="D348" s="2" t="inlineStr">
        <is>
          <t>DISPÕE SOBRE A CRIAÇÃO DE CAMPANHA PARA INVESTIGAÇÃO E DIAGNÓSTICO DO TRANSTORNO DO ESPECTRO AUTISTA (TEA) EM ADULTOS E IDOSOS, NO ÂMBITO DO ESTADO DO RIO DE JANEIRO</t>
        </is>
      </c>
      <c r="E348" s="2" t="inlineStr">
        <is>
          <t>FRED PACHECO,THIAGO GAGLIASSO</t>
        </is>
      </c>
      <c r="F348" s="18" t="inlineStr">
        <is>
          <t>VINICIUS COZZOLINO</t>
        </is>
      </c>
      <c r="G348" s="10" t="inlineStr">
        <is>
          <t>FAVORÁVEL COM O SUBSTITUTIVO DA COMISSÃO DE CONSTITUIÇÃO E JUSTIÇA</t>
        </is>
      </c>
      <c r="H348" s="10" t="n"/>
      <c r="I348" s="4" t="inlineStr">
        <is>
          <t>PRÓXIMA</t>
        </is>
      </c>
      <c r="J348" s="9" t="n">
        <v>46091</v>
      </c>
      <c r="K348" s="9" t="n">
        <v>46091</v>
      </c>
      <c r="L348" s="9" t="n">
        <v>46118</v>
      </c>
      <c r="M348" s="4" t="n"/>
      <c r="N348" s="4" t="n"/>
      <c r="O348" s="4" t="n"/>
      <c r="P348" s="4" t="n"/>
      <c r="Q348" s="12" t="inlineStr">
        <is>
          <t>Sim</t>
        </is>
      </c>
      <c r="R348" s="2" t="n"/>
      <c r="S348" s="4" t="n"/>
      <c r="T348" s="4" t="n"/>
      <c r="U348" s="7" t="n"/>
      <c r="V348" s="3" t="inlineStr">
        <is>
          <t>http://alerjln1.alerj.rj.gov.br/scpro2327.nsf/18c1dd68f96be3e7832566ec0018d833/657c91f295e1151f03258b86004eece2?OpenDocument</t>
        </is>
      </c>
      <c r="W348" s="3">
        <f>RIGHT(C348, 4)</f>
        <v/>
      </c>
      <c r="X348" s="3">
        <f>LEFT(C348, LEN(C348) - 5)</f>
        <v/>
      </c>
    </row>
    <row r="349" ht="75" customHeight="1" s="79">
      <c r="A349" s="2" t="inlineStr">
        <is>
          <t>Projeto Lei</t>
        </is>
      </c>
      <c r="B349" s="4" t="n"/>
      <c r="C349" s="73" t="inlineStr">
        <is>
          <t>4368/2024</t>
        </is>
      </c>
      <c r="D349" s="2" t="inlineStr">
        <is>
          <t>ALTERA A LEI Nº 10.368/2024, QUE INSTITUI A “LEI MORENO MOURA”, QUE PROÍBE A CONTRATAÇÃO DE MÉDICO GENERALISTA E DE RESIDENTE MÉDICO, COMO MÉDICO ESPECIALISTA, EM UNIDADES DE SAÚDE E HOSPITAIS PÚBLICOS NO ESTADO DO RIO DE JANEIRO.</t>
        </is>
      </c>
      <c r="E349" s="2" t="inlineStr">
        <is>
          <t>RODRIGO AMORIM</t>
        </is>
      </c>
      <c r="F349" s="18" t="inlineStr">
        <is>
          <t>CARLOS MACEDO</t>
        </is>
      </c>
      <c r="G349" s="10" t="n"/>
      <c r="H349" s="10" t="n"/>
      <c r="I349" s="4" t="n"/>
      <c r="J349" s="9" t="n">
        <v>46091</v>
      </c>
      <c r="K349" s="9" t="n">
        <v>46091</v>
      </c>
      <c r="L349" s="9" t="n">
        <v>46167</v>
      </c>
      <c r="M349" s="4" t="n"/>
      <c r="N349" s="4" t="n"/>
      <c r="O349" s="4" t="n"/>
      <c r="P349" s="4" t="n"/>
      <c r="Q349" s="12" t="inlineStr">
        <is>
          <t>Sim</t>
        </is>
      </c>
      <c r="R349" s="2" t="inlineStr">
        <is>
          <t>Retirei do gab. Do relator Vinícius Cozzolino, relatoria em 10/03/2026, pois mudou a composição da Com.</t>
        </is>
      </c>
      <c r="S349" s="4" t="n"/>
      <c r="T349" s="4" t="n"/>
      <c r="U349" s="7" t="n"/>
      <c r="V349" s="3" t="inlineStr">
        <is>
          <t>http://alerjln1.alerj.rj.gov.br/scpro2327.nsf/18c1dd68f96be3e7832566ec0018d833/9e03d8abfc9243e103258bc7004a3c9f?OpenDocument</t>
        </is>
      </c>
      <c r="W349" s="3">
        <f>RIGHT(C349, 4)</f>
        <v/>
      </c>
      <c r="X349" s="3">
        <f>LEFT(C349, LEN(C349) - 5)</f>
        <v/>
      </c>
    </row>
    <row r="350" ht="105" customHeight="1" s="79">
      <c r="A350" s="2" t="inlineStr">
        <is>
          <t>Projeto Lei</t>
        </is>
      </c>
      <c r="B350" s="4" t="n"/>
      <c r="C350" s="73" t="inlineStr">
        <is>
          <t>1980/2023</t>
        </is>
      </c>
      <c r="D350" s="2" t="inlineStr">
        <is>
          <t>AUTORIZA A ADMINISTRAÇÃO PÚBLICA DO ESTADO DO RIO DE JANEIRO A ISENTAR A DOADORA DE LEITE HUMANO DO PAGAMENTO DA PASSAGEM DE RETORNO, ATÉ A RESIDÊNCIA DESTE, NOS TRANSPORTES COLETIVOS INTERMUNICIPAIS, NO ESTADO DO RIO DE JANEIRO E DÁ OUTRAS PROVIDÊNCIAS</t>
        </is>
      </c>
      <c r="E350" s="2" t="inlineStr">
        <is>
          <t>ELIKA TAKIMOTO</t>
        </is>
      </c>
      <c r="F350" s="18" t="inlineStr">
        <is>
          <t>ALEXANDRE KNOPLOCH</t>
        </is>
      </c>
      <c r="G350" s="10" t="n"/>
      <c r="H350" s="10" t="n"/>
      <c r="I350" s="4" t="n"/>
      <c r="J350" s="9" t="n">
        <v>46092</v>
      </c>
      <c r="K350" s="9" t="n">
        <v>46107</v>
      </c>
      <c r="L350" s="4" t="n"/>
      <c r="M350" s="4" t="n"/>
      <c r="N350" s="4" t="n"/>
      <c r="O350" s="4" t="n"/>
      <c r="P350" s="4" t="n"/>
      <c r="Q350" s="12" t="inlineStr">
        <is>
          <t>Não</t>
        </is>
      </c>
      <c r="R350" s="2" t="n"/>
      <c r="S350" s="4" t="n"/>
      <c r="T350" s="4" t="n"/>
      <c r="U350" s="7" t="n"/>
      <c r="V350" s="3" t="inlineStr">
        <is>
          <t>http://alerjln1.alerj.rj.gov.br/scpro2327.nsf/18c1dd68f96be3e7832566ec0018d833/c88bb20257e1063903258a22004b02cd?OpenDocument</t>
        </is>
      </c>
      <c r="W350" s="3">
        <f>RIGHT(C350, 4)</f>
        <v/>
      </c>
      <c r="X350" s="3">
        <f>LEFT(C350, LEN(C350) - 5)</f>
        <v/>
      </c>
    </row>
    <row r="351" ht="60" customHeight="1" s="79">
      <c r="A351" s="2" t="inlineStr">
        <is>
          <t>Projeto Lei</t>
        </is>
      </c>
      <c r="B351" s="4" t="n"/>
      <c r="C351" s="73" t="inlineStr">
        <is>
          <t>3136/2020</t>
        </is>
      </c>
      <c r="D351" s="2" t="inlineStr">
        <is>
          <t>DISPÕE SOBRE A GARANTIA DO DESLOCAMENTO NO ÂMBITO DO ESTADO DO RIO DE JANEIRO AOS PACIENTES PORTADORES DA ATROFIA MUSCULAR ESPINHAL – AME.</t>
        </is>
      </c>
      <c r="E351" s="2" t="inlineStr">
        <is>
          <t>ROSENVERG REIS</t>
        </is>
      </c>
      <c r="F351" s="18" t="inlineStr">
        <is>
          <t>ALEXANDRE KNOPLOCH</t>
        </is>
      </c>
      <c r="G351" s="10" t="n"/>
      <c r="H351" s="10" t="n"/>
      <c r="I351" s="4" t="n"/>
      <c r="J351" s="9" t="n">
        <v>46105</v>
      </c>
      <c r="K351" s="9" t="n">
        <v>46107</v>
      </c>
      <c r="L351" s="4" t="n"/>
      <c r="M351" s="4" t="n"/>
      <c r="N351" s="4" t="n"/>
      <c r="O351" s="4" t="n"/>
      <c r="P351" s="4" t="n"/>
      <c r="Q351" s="12" t="inlineStr">
        <is>
          <t>Não</t>
        </is>
      </c>
      <c r="R351" s="2" t="n"/>
      <c r="S351" s="4" t="n"/>
      <c r="T351" s="4" t="n"/>
      <c r="U351" s="7" t="n"/>
      <c r="V351" s="3" t="inlineStr">
        <is>
          <t>http://alerjln1.alerj.rj.gov.br/scpro1923.nsf/18c1dd68f96be3e7832566ec0018d833/7a90e6a9e3efffec032585e500539e27?OpenDocument</t>
        </is>
      </c>
      <c r="W351" s="3">
        <f>RIGHT(C351, 4)</f>
        <v/>
      </c>
      <c r="X351" s="3">
        <f>LEFT(C351, LEN(C351) - 5)</f>
        <v/>
      </c>
    </row>
    <row r="352" ht="30" customHeight="1" s="79">
      <c r="A352" s="2" t="inlineStr">
        <is>
          <t>Projeto Lei</t>
        </is>
      </c>
      <c r="B352" s="4" t="n"/>
      <c r="C352" s="73" t="inlineStr">
        <is>
          <t>2785/2023</t>
        </is>
      </c>
      <c r="D352" s="2" t="inlineStr">
        <is>
          <t>CRIA O “PROGRAMA ESTADUAL DE FISIOTERAPIA OBSTÉTRICA PRÉ-NATAL” E DÁ OUTRAS PROVIDÊNCIAS</t>
        </is>
      </c>
      <c r="E352" s="2" t="inlineStr">
        <is>
          <t>THIAGO GAGLIASSO</t>
        </is>
      </c>
      <c r="F352" s="18" t="inlineStr">
        <is>
          <t>ALEXANDRE KNOPLOCH</t>
        </is>
      </c>
      <c r="G352" s="10" t="n"/>
      <c r="H352" s="10" t="n"/>
      <c r="I352" s="4" t="inlineStr">
        <is>
          <t>PLENÁRIO</t>
        </is>
      </c>
      <c r="J352" s="9" t="n">
        <v>46105</v>
      </c>
      <c r="K352" s="9" t="n">
        <v>46107</v>
      </c>
      <c r="L352" s="4" t="n"/>
      <c r="M352" s="9" t="n">
        <v>46118</v>
      </c>
      <c r="N352" s="4" t="n"/>
      <c r="O352" s="4" t="n"/>
      <c r="P352" s="4" t="n"/>
      <c r="Q352" s="12" t="inlineStr">
        <is>
          <t>Não</t>
        </is>
      </c>
      <c r="R352" s="2" t="inlineStr">
        <is>
          <t>Retirei do gab. Do relator, em 06-04-2026, para ir a plenário</t>
        </is>
      </c>
      <c r="S352" s="4" t="n"/>
      <c r="T352" s="4" t="n"/>
      <c r="U352" s="7" t="n"/>
      <c r="V352" s="3" t="inlineStr">
        <is>
          <t>http://alerjln1.alerj.rj.gov.br/scpro2327.nsf/18c1dd68f96be3e7832566ec0018d833/f2b2896461d2be3603258a8400674823?OpenDocument</t>
        </is>
      </c>
      <c r="W352" s="3">
        <f>RIGHT(C352, 4)</f>
        <v/>
      </c>
      <c r="X352" s="3">
        <f>LEFT(C352, LEN(C352) - 5)</f>
        <v/>
      </c>
    </row>
    <row r="353" ht="75" customHeight="1" s="79">
      <c r="A353" s="2" t="inlineStr">
        <is>
          <t>Projeto Lei</t>
        </is>
      </c>
      <c r="B353" s="4" t="n"/>
      <c r="C353" s="73" t="inlineStr">
        <is>
          <t>3066/2024</t>
        </is>
      </c>
      <c r="D353" s="2" t="inlineStr">
        <is>
          <t>ALTERA A LEI ESTADUAL Nº 5.645, DE 06 DE JANEIRO DE 2010, PARA INCLUIR NO CALENDÁRIO DO ESTADO DO RIO DE JANEIRO O DIA ESTADUAL DA CONSCIENTIZAÇÃO DA SÍNDROME DA DUPLICAÇÃO DO CROMOSSOMO 17 (17P13.3).</t>
        </is>
      </c>
      <c r="E353" s="2" t="inlineStr">
        <is>
          <t>CARLINHOS BNH</t>
        </is>
      </c>
      <c r="F353" s="18" t="inlineStr">
        <is>
          <t>ALEXANDRE KNOPLOCH</t>
        </is>
      </c>
      <c r="G353" s="10" t="n"/>
      <c r="H353" s="10" t="n"/>
      <c r="I353" s="4" t="n"/>
      <c r="J353" s="9" t="n">
        <v>46105</v>
      </c>
      <c r="K353" s="9" t="n">
        <v>46107</v>
      </c>
      <c r="L353" s="4" t="n"/>
      <c r="M353" s="4" t="n"/>
      <c r="N353" s="4" t="n"/>
      <c r="O353" s="4" t="n"/>
      <c r="P353" s="4" t="n"/>
      <c r="Q353" s="12" t="inlineStr">
        <is>
          <t>Não</t>
        </is>
      </c>
      <c r="R353" s="2" t="n"/>
      <c r="S353" s="4" t="n"/>
      <c r="T353" s="4" t="n"/>
      <c r="U353" s="7" t="n"/>
      <c r="V353" s="3" t="inlineStr">
        <is>
          <t>http://alerjln1.alerj.rj.gov.br/scpro2327.nsf/18c1dd68f96be3e7832566ec0018d833/363c8c13d0c10f4603258ad100645598?OpenDocument</t>
        </is>
      </c>
      <c r="W353" s="3">
        <f>RIGHT(C353, 4)</f>
        <v/>
      </c>
      <c r="X353" s="3">
        <f>LEFT(C353, LEN(C353) - 5)</f>
        <v/>
      </c>
    </row>
    <row r="354" ht="45" customHeight="1" s="79">
      <c r="A354" s="2" t="inlineStr">
        <is>
          <t>Projeto Lei</t>
        </is>
      </c>
      <c r="B354" s="4" t="n"/>
      <c r="C354" s="73" t="inlineStr">
        <is>
          <t>4037/2024</t>
        </is>
      </c>
      <c r="D354" s="2" t="inlineStr">
        <is>
          <t>DISPÕE SOBRE A POLÍTICA ESTADUAL DE APOIO E ASSISTÊNCIA ÀS PESSOAS COM A DOENÇA DE MPOX (VARÍOLA DOS MACACOS).</t>
        </is>
      </c>
      <c r="E354" s="2" t="inlineStr">
        <is>
          <t>BRAZAO</t>
        </is>
      </c>
      <c r="F354" s="18" t="inlineStr">
        <is>
          <t>ALEXANDRE KNOPLOCH</t>
        </is>
      </c>
      <c r="G354" s="10" t="n"/>
      <c r="H354" s="10" t="n"/>
      <c r="I354" s="4" t="n"/>
      <c r="J354" s="9" t="n">
        <v>46105</v>
      </c>
      <c r="K354" s="9" t="n">
        <v>46107</v>
      </c>
      <c r="L354" s="4" t="n"/>
      <c r="M354" s="4" t="n"/>
      <c r="N354" s="4" t="n"/>
      <c r="O354" s="4" t="n"/>
      <c r="P354" s="4" t="n"/>
      <c r="Q354" s="12" t="inlineStr">
        <is>
          <t>Não</t>
        </is>
      </c>
      <c r="R354" s="2" t="n"/>
      <c r="S354" s="4" t="n"/>
      <c r="T354" s="4" t="n"/>
      <c r="U354" s="7" t="n"/>
      <c r="V354" s="3" t="inlineStr">
        <is>
          <t>http://alerjln1.alerj.rj.gov.br/scpro2327.nsf/18c1dd68f96be3e7832566ec0018d833/b66ff174b6ba1ca503258b7f0064ebd6?OpenDocument</t>
        </is>
      </c>
      <c r="W354" s="3">
        <f>RIGHT(C354, 4)</f>
        <v/>
      </c>
      <c r="X354" s="3">
        <f>LEFT(C354, LEN(C354) - 5)</f>
        <v/>
      </c>
    </row>
    <row r="355" ht="60" customHeight="1" s="79">
      <c r="A355" s="2" t="inlineStr">
        <is>
          <t>Projeto Lei</t>
        </is>
      </c>
      <c r="B355" s="4" t="n"/>
      <c r="C355" s="73" t="inlineStr">
        <is>
          <t>4067/2024</t>
        </is>
      </c>
      <c r="D355" s="2" t="inlineStr">
        <is>
          <t>INSTITUI O PROGRAMA DE CONTINGÊNCIA PARA APOIO A PESSOAS AUTISTAS EM SITUAÇÕES DE DESASTRES NO ÂMBITO DO ESTADO DO RIO DE JANEIRO.</t>
        </is>
      </c>
      <c r="E355" s="2" t="inlineStr">
        <is>
          <t>CARLA MACHADO</t>
        </is>
      </c>
      <c r="F355" s="18" t="inlineStr">
        <is>
          <t>RENATO MIRANDA</t>
        </is>
      </c>
      <c r="G355" s="10" t="n"/>
      <c r="H355" s="10" t="n"/>
      <c r="I355" s="4" t="n"/>
      <c r="J355" s="9" t="n">
        <v>46105</v>
      </c>
      <c r="K355" s="9" t="n">
        <v>46107</v>
      </c>
      <c r="L355" s="4" t="n"/>
      <c r="M355" s="4" t="n"/>
      <c r="N355" s="4" t="n"/>
      <c r="O355" s="4" t="n"/>
      <c r="P355" s="4" t="n"/>
      <c r="Q355" s="12" t="inlineStr">
        <is>
          <t>Não</t>
        </is>
      </c>
      <c r="R355" s="2" t="n"/>
      <c r="S355" s="4" t="n"/>
      <c r="T355" s="4" t="n"/>
      <c r="U355" s="7" t="n"/>
      <c r="V355" s="3" t="inlineStr">
        <is>
          <t>http://alerjln1.alerj.rj.gov.br/scpro2327.nsf/18c1dd68f96be3e7832566ec0018d833/c48363667ab1039403258b86004f334d?OpenDocument</t>
        </is>
      </c>
      <c r="W355" s="3">
        <f>RIGHT(C355, 4)</f>
        <v/>
      </c>
      <c r="X355" s="3">
        <f>LEFT(C355, LEN(C355) - 5)</f>
        <v/>
      </c>
    </row>
    <row r="356" ht="60" customHeight="1" s="79">
      <c r="A356" s="2" t="inlineStr">
        <is>
          <t>Projeto Lei</t>
        </is>
      </c>
      <c r="B356" s="4" t="n"/>
      <c r="C356" s="73" t="inlineStr">
        <is>
          <t>5448/2025</t>
        </is>
      </c>
      <c r="D356" s="2" t="inlineStr">
        <is>
          <t>INSTITUI, NO ÂMBITO DO ESTADO DO RIO DE JANEIRO, O PROGRAMA ESTADUAL DE TATUAGENS FUNCIONAIS PARA PESSOAS COM DOENÇAS CRÔNICAS</t>
        </is>
      </c>
      <c r="E356" s="2" t="inlineStr">
        <is>
          <t>ELTON CRISTO</t>
        </is>
      </c>
      <c r="F356" s="18" t="inlineStr">
        <is>
          <t>RENATO MIRANDA</t>
        </is>
      </c>
      <c r="G356" s="10" t="n"/>
      <c r="H356" s="10" t="n"/>
      <c r="I356" s="4" t="n"/>
      <c r="J356" s="9" t="n">
        <v>46105</v>
      </c>
      <c r="K356" s="9" t="n">
        <v>46107</v>
      </c>
      <c r="L356" s="4" t="n"/>
      <c r="M356" s="4" t="n"/>
      <c r="N356" s="4" t="n"/>
      <c r="O356" s="4" t="n"/>
      <c r="P356" s="4" t="n"/>
      <c r="Q356" s="12" t="inlineStr">
        <is>
          <t>Não</t>
        </is>
      </c>
      <c r="R356" s="2" t="n"/>
      <c r="S356" s="4" t="n"/>
      <c r="T356" s="4" t="n"/>
      <c r="U356" s="7" t="n"/>
      <c r="V356" s="3" t="inlineStr">
        <is>
          <t>http://alerjln1.alerj.rj.gov.br/scpro2327.nsf/18c1dd68f96be3e7832566ec0018d833/a94a2714cf0ac95d03258c970061581f?OpenDocument</t>
        </is>
      </c>
      <c r="W356" s="3">
        <f>RIGHT(C356, 4)</f>
        <v/>
      </c>
      <c r="X356" s="3">
        <f>LEFT(C356, LEN(C356) - 5)</f>
        <v/>
      </c>
    </row>
    <row r="357" ht="75" customHeight="1" s="79">
      <c r="A357" s="2" t="inlineStr">
        <is>
          <t>Projeto Lei</t>
        </is>
      </c>
      <c r="B357" s="4" t="n"/>
      <c r="C357" s="73" t="inlineStr">
        <is>
          <t>4777/2021</t>
        </is>
      </c>
      <c r="D357" s="2" t="inlineStr">
        <is>
          <t>OBRIGA A PRESENÇA DE TRADUTOR E INTÉRPRETE DA LÍNGUA BRASILEIRA DE SINAIS – LIBRAS – EM TODOS OS EVENTOS REALIZADOS PELOS PODERES DO ESTADO DO RIO DE JANEIRO, PARA REALIZAR SUA INTERPRETAÇÃO E TRADUÇÃO INTEGRAL EM LIBRAS.</t>
        </is>
      </c>
      <c r="E357" s="2" t="inlineStr">
        <is>
          <t>RODRIGO AMORIM</t>
        </is>
      </c>
      <c r="F357" s="18" t="inlineStr">
        <is>
          <t>RENATO MIRANDA</t>
        </is>
      </c>
      <c r="G357" s="10" t="n"/>
      <c r="H357" s="10" t="n"/>
      <c r="I357" s="4" t="n"/>
      <c r="J357" s="9" t="n">
        <v>46105</v>
      </c>
      <c r="K357" s="9" t="n">
        <v>46107</v>
      </c>
      <c r="L357" s="4" t="n"/>
      <c r="M357" s="4" t="n"/>
      <c r="N357" s="4" t="n"/>
      <c r="O357" s="4" t="n"/>
      <c r="P357" s="4" t="n"/>
      <c r="Q357" s="12" t="inlineStr">
        <is>
          <t>Não</t>
        </is>
      </c>
      <c r="R357" s="2" t="n"/>
      <c r="S357" s="4" t="n"/>
      <c r="T357" s="4" t="n"/>
      <c r="U357" s="7" t="n"/>
      <c r="V357" s="3" t="inlineStr">
        <is>
          <t>http://alerjln1.alerj.rj.gov.br/scpro1923.nsf/18c1dd68f96be3e7832566ec0018d833/163764f5a6b8650603258743006242a4?OpenDocument</t>
        </is>
      </c>
      <c r="W357" s="3">
        <f>RIGHT(C357, 4)</f>
        <v/>
      </c>
      <c r="X357" s="3">
        <f>LEFT(C357, LEN(C357) - 5)</f>
        <v/>
      </c>
    </row>
    <row r="358" ht="30" customHeight="1" s="79">
      <c r="A358" s="2" t="inlineStr">
        <is>
          <t>Projeto Lei</t>
        </is>
      </c>
      <c r="B358" s="4" t="n"/>
      <c r="C358" s="73" t="inlineStr">
        <is>
          <t>5353/2022</t>
        </is>
      </c>
      <c r="D358" s="2" t="inlineStr">
        <is>
          <t>ALTERA O ART 2º DA LEI Nº 6165, DE 15 DE FEVEREIRO DE 2012.</t>
        </is>
      </c>
      <c r="E358" s="2" t="inlineStr">
        <is>
          <t>MARTHA ROCHA</t>
        </is>
      </c>
      <c r="F358" s="18" t="inlineStr">
        <is>
          <t>RENATO MIRANDA</t>
        </is>
      </c>
      <c r="G358" s="10" t="n"/>
      <c r="H358" s="10" t="n"/>
      <c r="I358" s="4" t="n"/>
      <c r="J358" s="9" t="n">
        <v>46105</v>
      </c>
      <c r="K358" s="9" t="n">
        <v>46107</v>
      </c>
      <c r="L358" s="4" t="n"/>
      <c r="M358" s="4" t="n"/>
      <c r="N358" s="4" t="n"/>
      <c r="O358" s="4" t="n"/>
      <c r="P358" s="4" t="n"/>
      <c r="Q358" s="12" t="inlineStr">
        <is>
          <t>Não</t>
        </is>
      </c>
      <c r="R358" s="2" t="n"/>
      <c r="S358" s="4" t="n"/>
      <c r="T358" s="4" t="n"/>
      <c r="U358" s="7" t="n"/>
      <c r="V358" s="3" t="inlineStr">
        <is>
          <t>http://alerjln1.alerj.rj.gov.br/scpro1923.nsf/18c1dd68f96be3e7832566ec0018d833/73894546d0e8a095032587e300658af6?OpenDocument</t>
        </is>
      </c>
      <c r="W358" s="3">
        <f>RIGHT(C358, 4)</f>
        <v/>
      </c>
      <c r="X358" s="3">
        <f>LEFT(C358, LEN(C358) - 5)</f>
        <v/>
      </c>
    </row>
    <row r="359" ht="45" customHeight="1" s="79">
      <c r="A359" s="2" t="inlineStr">
        <is>
          <t>Projeto Lei</t>
        </is>
      </c>
      <c r="B359" s="4" t="n"/>
      <c r="C359" s="73" t="inlineStr">
        <is>
          <t>2362/2023</t>
        </is>
      </c>
      <c r="D359" s="2" t="inlineStr">
        <is>
          <t>ALTERA A LEI ESTADUAL N.º 4.379, DE 20 DE JULHO DE 2004.</t>
        </is>
      </c>
      <c r="E359" s="2" t="inlineStr">
        <is>
          <t>FRED PACHECO</t>
        </is>
      </c>
      <c r="F359" s="18" t="inlineStr">
        <is>
          <t>CARLOS MACEDO</t>
        </is>
      </c>
      <c r="G359" s="10" t="n"/>
      <c r="H359" s="10" t="n"/>
      <c r="I359" s="4" t="n"/>
      <c r="J359" s="9" t="n">
        <v>46105</v>
      </c>
      <c r="K359" s="9" t="n">
        <v>46168</v>
      </c>
      <c r="L359" s="4" t="n"/>
      <c r="M359" s="4" t="n"/>
      <c r="N359" s="4" t="n"/>
      <c r="O359" s="4" t="n"/>
      <c r="P359" s="4" t="n"/>
      <c r="Q359" s="12" t="inlineStr">
        <is>
          <t>Sim</t>
        </is>
      </c>
      <c r="R359" s="2" t="inlineStr">
        <is>
          <t>Retirei do gab. Do relator Vinícius Cozzolino, relatoria em 26/03/2026, pois mudou a composição da Com.</t>
        </is>
      </c>
      <c r="S359" s="4" t="n"/>
      <c r="T359" s="4" t="n"/>
      <c r="U359" s="7" t="n"/>
      <c r="V359" s="3" t="inlineStr">
        <is>
          <t>http://alerjln1.alerj.rj.gov.br/scpro2327.nsf/18c1dd68f96be3e7832566ec0018d833/fabab851eca1fe2d03258a44005a4ba9?OpenDocument</t>
        </is>
      </c>
      <c r="W359" s="3">
        <f>RIGHT(C359, 4)</f>
        <v/>
      </c>
      <c r="X359" s="3">
        <f>LEFT(C359, LEN(C359) - 5)</f>
        <v/>
      </c>
    </row>
    <row r="360" ht="60" customHeight="1" s="79">
      <c r="A360" s="2" t="inlineStr">
        <is>
          <t>Projeto Lei</t>
        </is>
      </c>
      <c r="B360" s="4" t="n"/>
      <c r="C360" s="73" t="inlineStr">
        <is>
          <t>EP 1646/2023</t>
        </is>
      </c>
      <c r="D360" s="2" t="inlineStr">
        <is>
          <t>ALTERA A LEI ESTADUAL Nº 3.900 DE 19 DE JULHO DE 2002, QUE "INSTITUI O CÓDIGO ESTADUAL DE PROTEÇÃO AOS ANIMAIS, NO ÂMBITO DO ESTADO DO RIO DE JANEIRO”.</t>
        </is>
      </c>
      <c r="E360" s="2" t="inlineStr">
        <is>
          <t>CARLINHOS BNH</t>
        </is>
      </c>
      <c r="F360" s="18" t="inlineStr">
        <is>
          <t>ANDRÉ CORRÊA</t>
        </is>
      </c>
      <c r="G360" s="10" t="n"/>
      <c r="H360" s="10" t="n"/>
      <c r="I360" s="4" t="n"/>
      <c r="J360" s="43" t="n">
        <v>46106</v>
      </c>
      <c r="K360" s="9" t="n">
        <v>46168</v>
      </c>
      <c r="L360" s="4" t="n"/>
      <c r="M360" s="4" t="n"/>
      <c r="N360" s="4" t="n"/>
      <c r="O360" s="4" t="n"/>
      <c r="P360" s="4" t="n"/>
      <c r="Q360" s="12" t="inlineStr">
        <is>
          <t>Sim</t>
        </is>
      </c>
      <c r="R360" s="2" t="inlineStr">
        <is>
          <t>Retirei do gab. Do relator Vinícius Cozzolino, relatoria em 26/03/2026, pois mudou a composição da Com.</t>
        </is>
      </c>
      <c r="S360" s="4" t="n"/>
      <c r="T360" s="4" t="n"/>
      <c r="U360" s="7" t="n"/>
      <c r="V360" s="3" t="inlineStr">
        <is>
          <t>http://alerjln1.alerj.rj.gov.br/scpro2327.nsf/18c1dd68f96be3e7832566ec0018d833/59f5f737f012d01a03258a0000617940?OpenDocument</t>
        </is>
      </c>
      <c r="W360" s="3">
        <f>RIGHT(C360, 4)</f>
        <v/>
      </c>
      <c r="X360" s="3">
        <f>LEFT(C360, LEN(C360) - 5)</f>
        <v/>
      </c>
    </row>
    <row r="361" ht="45" customHeight="1" s="79">
      <c r="A361" s="2" t="inlineStr">
        <is>
          <t>Projeto Lei</t>
        </is>
      </c>
      <c r="B361" s="4" t="n"/>
      <c r="C361" s="73" t="inlineStr">
        <is>
          <t>EP 10/2015</t>
        </is>
      </c>
      <c r="D361" s="2" t="inlineStr">
        <is>
          <t>CRIA AS DELEGACIAS ESPECIALIZADAS EM ACIDENTES DO TRABALHO NO ESTADO DO RIO DE JANEIRO.</t>
        </is>
      </c>
      <c r="E361" s="2" t="inlineStr">
        <is>
          <t>PAULO RAMOS</t>
        </is>
      </c>
      <c r="F361" s="18" t="inlineStr">
        <is>
          <t>ANDERSON MORAES</t>
        </is>
      </c>
      <c r="G361" s="10" t="n"/>
      <c r="H361" s="37" t="n"/>
      <c r="I361" s="14" t="n"/>
      <c r="J361" s="9" t="n">
        <v>46107</v>
      </c>
      <c r="K361" s="9" t="n">
        <v>46168</v>
      </c>
      <c r="L361" s="9" t="n"/>
      <c r="M361" s="4" t="n"/>
      <c r="N361" s="4" t="n"/>
      <c r="O361" s="4" t="n"/>
      <c r="P361" s="4" t="n"/>
      <c r="Q361" s="12" t="inlineStr">
        <is>
          <t>Sim</t>
        </is>
      </c>
      <c r="R361" s="2" t="inlineStr">
        <is>
          <t>Retirei do gab. Do relator Vinícius Cozzolino, relatoria em 26/03/2026, pois mudou a composição da Com.</t>
        </is>
      </c>
      <c r="S361" s="4" t="n"/>
      <c r="T361" s="4" t="n"/>
      <c r="U361" s="7" t="n"/>
      <c r="V361" s="3" t="inlineStr">
        <is>
          <t>http://alerjln1.alerj.rj.gov.br/scpro1519.nsf/18c1dd68f96be3e7832566ec0018d833/52ed178cd5713da683257de10047bac1?OpenDocument</t>
        </is>
      </c>
      <c r="W361" s="3">
        <f>RIGHT(C361, 4)</f>
        <v/>
      </c>
      <c r="X361" s="3">
        <f>LEFT(C361, LEN(C361) - 5)</f>
        <v/>
      </c>
    </row>
    <row r="362" ht="75" customHeight="1" s="79">
      <c r="A362" s="2" t="inlineStr">
        <is>
          <t>Projeto Lei</t>
        </is>
      </c>
      <c r="B362" s="4" t="n">
        <v>21</v>
      </c>
      <c r="C362" s="73" t="inlineStr">
        <is>
          <t>2857/2020</t>
        </is>
      </c>
      <c r="D362" s="2" t="inlineStr">
        <is>
          <t>DECLARA PATRIMÔNIO CULTURAL IMATERIAL DO ESTADO DO RIO DE JANEIRO A CIÊNCIA DO KOMBATO, E DÁ OUTRAS PROVIDÊNCIAS.</t>
        </is>
      </c>
      <c r="E362" s="2" t="inlineStr">
        <is>
          <t>RODRIGO AMORIM</t>
        </is>
      </c>
      <c r="F362" s="18" t="inlineStr">
        <is>
          <t>VINICIUS COZZOLINO</t>
        </is>
      </c>
      <c r="G362" s="10" t="inlineStr">
        <is>
          <t>FAVORÁVEL COM AS EMENDAS DA COMISSÃO DE CONSTITUIÇÃO E JUSTIÇA</t>
        </is>
      </c>
      <c r="H362" s="10" t="n"/>
      <c r="I362" s="4" t="inlineStr">
        <is>
          <t>PRÓXIMA</t>
        </is>
      </c>
      <c r="J362" s="9" t="n">
        <v>46107</v>
      </c>
      <c r="K362" s="9" t="n">
        <v>46107</v>
      </c>
      <c r="L362" s="9" t="n">
        <v>46118</v>
      </c>
      <c r="M362" s="4" t="n"/>
      <c r="N362" s="4" t="n"/>
      <c r="O362" s="4" t="n"/>
      <c r="P362" s="4" t="n"/>
      <c r="Q362" s="12" t="inlineStr">
        <is>
          <t>Sim</t>
        </is>
      </c>
      <c r="R362" s="2" t="n"/>
      <c r="S362" s="4" t="n"/>
      <c r="T362" s="4" t="n"/>
      <c r="U362" s="7" t="n"/>
      <c r="V362" s="3" t="inlineStr">
        <is>
          <t>http://alerjln1.alerj.rj.gov.br/scpro1923.nsf/18c1dd68f96be3e7832566ec0018d833/fdee07e199496fd2032585a000501879?OpenDocument</t>
        </is>
      </c>
      <c r="W362" s="3">
        <f>RIGHT(C362, 4)</f>
        <v/>
      </c>
      <c r="X362" s="3">
        <f>LEFT(C362, LEN(C362) - 5)</f>
        <v/>
      </c>
    </row>
    <row r="363" ht="45" customHeight="1" s="79">
      <c r="A363" s="2" t="inlineStr">
        <is>
          <t>Projeto Lei</t>
        </is>
      </c>
      <c r="B363" s="4" t="n"/>
      <c r="C363" s="73" t="inlineStr">
        <is>
          <t>EP 3800/2021</t>
        </is>
      </c>
      <c r="D363" s="2" t="inlineStr">
        <is>
          <t>ALTERA A LEI Nº 5883, DE 14 DE JANEIRO DE 2011. QUE INSTITUI O PROGRAMA CONDOMÍNIO SEGURO EM TODO ESTADO DO RIO DE JANEIRO.</t>
        </is>
      </c>
      <c r="E363" s="2" t="inlineStr">
        <is>
          <t>CARLOS MACEDO</t>
        </is>
      </c>
      <c r="F363" s="18" t="inlineStr">
        <is>
          <t>ANDERSON MORAES</t>
        </is>
      </c>
      <c r="G363" s="10" t="n"/>
      <c r="H363" s="10" t="n"/>
      <c r="I363" s="4" t="n"/>
      <c r="J363" s="9" t="n">
        <v>46107</v>
      </c>
      <c r="K363" s="9" t="n">
        <v>46168</v>
      </c>
      <c r="L363" s="4" t="n"/>
      <c r="M363" s="4" t="n"/>
      <c r="N363" s="4" t="n"/>
      <c r="O363" s="4" t="n"/>
      <c r="P363" s="4" t="n"/>
      <c r="Q363" s="12" t="inlineStr">
        <is>
          <t>Sim</t>
        </is>
      </c>
      <c r="R363" s="2" t="inlineStr">
        <is>
          <t>Retirei do gab. Do relator Vinícius Cozzolino, relatoria em 26/03/2026, pois mudou a composição da Com.</t>
        </is>
      </c>
      <c r="S363" s="4" t="n"/>
      <c r="T363" s="4" t="n"/>
      <c r="U363" s="7" t="n"/>
      <c r="V363" s="3" t="inlineStr">
        <is>
          <t>http://alerjln1.alerj.rj.gov.br/scpro1923.nsf/18c1dd68f96be3e7832566ec0018d833/ccfc657883a4b7900325868d006b61eb?OpenDocument</t>
        </is>
      </c>
      <c r="W363" s="3">
        <f>RIGHT(C363, 4)</f>
        <v/>
      </c>
      <c r="X363" s="3">
        <f>LEFT(C363, LEN(C363) - 5)</f>
        <v/>
      </c>
    </row>
    <row r="364" ht="30" customHeight="1" s="79">
      <c r="A364" s="2" t="inlineStr">
        <is>
          <t>Projeto Lei</t>
        </is>
      </c>
      <c r="B364" s="4" t="n"/>
      <c r="C364" s="73" t="inlineStr">
        <is>
          <t>862/2023</t>
        </is>
      </c>
      <c r="D364" s="2" t="inlineStr">
        <is>
          <t>INSTITUI O PROGRAMA DE PROTEÇÃO À BOMBEIRO MILITAR-FEM GESTANTE E LACTANTE</t>
        </is>
      </c>
      <c r="E364" s="2" t="inlineStr">
        <is>
          <t>ELTON CRISTO</t>
        </is>
      </c>
      <c r="F364" s="18" t="inlineStr">
        <is>
          <t>CARLOS MACEDO</t>
        </is>
      </c>
      <c r="G364" s="10" t="n"/>
      <c r="H364" s="10" t="n"/>
      <c r="I364" s="4" t="n"/>
      <c r="J364" s="9" t="n">
        <v>46107</v>
      </c>
      <c r="K364" s="9" t="n">
        <v>46107</v>
      </c>
      <c r="L364" s="4" t="n"/>
      <c r="M364" s="4" t="n"/>
      <c r="N364" s="4" t="n"/>
      <c r="O364" s="4" t="n"/>
      <c r="P364" s="4" t="n"/>
      <c r="Q364" s="12" t="inlineStr">
        <is>
          <t>Não</t>
        </is>
      </c>
      <c r="R364" s="2" t="n"/>
      <c r="S364" s="4" t="n"/>
      <c r="T364" s="4" t="n"/>
      <c r="U364" s="7" t="n"/>
      <c r="V364" s="3" t="inlineStr">
        <is>
          <t>http://alerjln1.alerj.rj.gov.br/scpro2327.nsf/18c1dd68f96be3e7832566ec0018d833/2564f2ebd9e5a8580325899d005a7a55?OpenDocument</t>
        </is>
      </c>
      <c r="W364" s="3">
        <f>RIGHT(C364, 4)</f>
        <v/>
      </c>
      <c r="X364" s="3">
        <f>LEFT(C364, LEN(C364) - 5)</f>
        <v/>
      </c>
    </row>
    <row r="365" ht="180" customHeight="1" s="79">
      <c r="A365" s="2" t="inlineStr">
        <is>
          <t>Projeto Lei</t>
        </is>
      </c>
      <c r="B365" s="4" t="n"/>
      <c r="C365" s="73" t="inlineStr">
        <is>
          <t>893/2023</t>
        </is>
      </c>
      <c r="D365" s="2" t="inlineStr">
        <is>
          <t>ALTERA A LEI N° 8386 DE 29 DE ABRIL DE 2019 QUE “INSTITUI O PROGRAMA DE APOIO, AVALIAÇÃO E ACOMPANHAMENTO PSICOLÓGICO DOS POLICIAIS CIVIS E MILITARES, BOMBEIROS MILITARES E INSPETORES DE SEGURANÇA, SERVIDORES DA ADMINISTRAÇÃO PENITENCIÁRIA E DO DEGASE, BEM COMO AOS SEUS FAMILIARES, VÍTIMAS DE TRAUMAS DECORRENTES DO EXERCÍCIO FUNCIONAL E QUE PARTICIPAREM DE CONFRONTO ARMADO DECORRENTE DE INTERVENÇÃO POLICIAL, COM OCORRÊNCIA OU NÃO DE LESÃO CORPORAL OU MORTE”</t>
        </is>
      </c>
      <c r="E365" s="2" t="inlineStr">
        <is>
          <t>DANNIEL LIBRELON</t>
        </is>
      </c>
      <c r="F365" s="18" t="inlineStr">
        <is>
          <t>CARLOS MACEDO</t>
        </is>
      </c>
      <c r="G365" s="10" t="n"/>
      <c r="H365" s="10" t="n"/>
      <c r="I365" s="4" t="n"/>
      <c r="J365" s="9" t="n">
        <v>46107</v>
      </c>
      <c r="K365" s="9" t="n">
        <v>46107</v>
      </c>
      <c r="L365" s="4" t="n"/>
      <c r="M365" s="4" t="n"/>
      <c r="N365" s="4" t="n"/>
      <c r="O365" s="4" t="n"/>
      <c r="P365" s="4" t="n"/>
      <c r="Q365" s="12" t="inlineStr">
        <is>
          <t>Não</t>
        </is>
      </c>
      <c r="R365" s="2" t="n"/>
      <c r="S365" s="4" t="n"/>
      <c r="T365" s="4" t="n"/>
      <c r="U365" s="7" t="n"/>
      <c r="V365" s="3" t="inlineStr">
        <is>
          <t>http://alerjln1.alerj.rj.gov.br/scpro2327.nsf/18c1dd68f96be3e7832566ec0018d833/ec7a6c04f1ac12c7032589a300575ea2?OpenDocument</t>
        </is>
      </c>
      <c r="W365" s="3">
        <f>RIGHT(C365, 4)</f>
        <v/>
      </c>
      <c r="X365" s="3">
        <f>LEFT(C365, LEN(C365) - 5)</f>
        <v/>
      </c>
    </row>
    <row r="366" ht="60" customHeight="1" s="79">
      <c r="A366" s="2" t="inlineStr">
        <is>
          <t>Projeto Lei</t>
        </is>
      </c>
      <c r="B366" s="4" t="n"/>
      <c r="C366" s="73" t="inlineStr">
        <is>
          <t>2206/2023</t>
        </is>
      </c>
      <c r="D366" s="2" t="inlineStr">
        <is>
          <t>DISPÕE SOBRE IMPLANTAÇÃO DO PROGRAMA DE MANUTENÇÃO PREVENTIVA PARA OS EQUIPAMENTOS DE EMERGÊNCIA DAS VIATURAS POLICIAIS DO ESTADO DO RIO DE JANEIRO.</t>
        </is>
      </c>
      <c r="E366" s="2" t="inlineStr">
        <is>
          <t>THIAGO RANGEL</t>
        </is>
      </c>
      <c r="F366" s="18" t="inlineStr">
        <is>
          <t>CARLOS MACEDO</t>
        </is>
      </c>
      <c r="G366" s="10" t="n"/>
      <c r="H366" s="10" t="n"/>
      <c r="I366" s="4" t="n"/>
      <c r="J366" s="9" t="n">
        <v>46107</v>
      </c>
      <c r="K366" s="9" t="n">
        <v>46107</v>
      </c>
      <c r="L366" s="4" t="n"/>
      <c r="M366" s="4" t="n"/>
      <c r="N366" s="4" t="n"/>
      <c r="O366" s="4" t="n"/>
      <c r="P366" s="4" t="n"/>
      <c r="Q366" s="12" t="inlineStr">
        <is>
          <t>Não</t>
        </is>
      </c>
      <c r="R366" s="2" t="n"/>
      <c r="S366" s="4" t="n"/>
      <c r="T366" s="4" t="n"/>
      <c r="U366" s="7" t="n"/>
      <c r="V366" s="3" t="inlineStr">
        <is>
          <t>http://alerjln1.alerj.rj.gov.br/scpro2327.nsf/18c1dd68f96be3e7832566ec0018d833/c417337d6a354c5103258a350051918e?OpenDocument</t>
        </is>
      </c>
      <c r="W366" s="3">
        <f>RIGHT(C366, 4)</f>
        <v/>
      </c>
      <c r="X366" s="3">
        <f>LEFT(C366, LEN(C366) - 5)</f>
        <v/>
      </c>
    </row>
    <row r="367" ht="105" customHeight="1" s="79">
      <c r="A367" s="2" t="inlineStr">
        <is>
          <t>Projeto Lei</t>
        </is>
      </c>
      <c r="B367" s="4" t="n"/>
      <c r="C367" s="73" t="inlineStr">
        <is>
          <t>3013/2017</t>
        </is>
      </c>
      <c r="D367" s="2" t="inlineStr">
        <is>
          <t>ALTERA A LEI Nº 4.508, DE 11 DE JANEIRO DE 2005, QUE "PROÍBE A COMERCIALIZAÇÃO, AQUISIÇÃO, CONFECÇÃO E DISTRIBUIÇÃO DE PRODUTOS QUE COLABOREM PARA A OBESIDADE INFANTIL, EM BARES, CANTINAS E SIMILARES INSTALADOS EM ESCOLAS PÚBLICAS E PRIVADAS DO ESTADO DO RIO DE JANEIRO".</t>
        </is>
      </c>
      <c r="E367" s="2" t="inlineStr">
        <is>
          <t>PAULO RAMOS,LUIZ PAULO</t>
        </is>
      </c>
      <c r="F367" s="18" t="inlineStr">
        <is>
          <t>ZEIDAN</t>
        </is>
      </c>
      <c r="G367" s="10" t="n"/>
      <c r="H367" s="10" t="n"/>
      <c r="I367" s="4" t="n"/>
      <c r="J367" s="9" t="n">
        <v>46107</v>
      </c>
      <c r="K367" s="9" t="n">
        <v>46111</v>
      </c>
      <c r="L367" s="4" t="n"/>
      <c r="M367" s="4" t="n"/>
      <c r="N367" s="4" t="n"/>
      <c r="O367" s="4" t="n"/>
      <c r="P367" s="4" t="n"/>
      <c r="Q367" s="12" t="inlineStr">
        <is>
          <t>Sim</t>
        </is>
      </c>
      <c r="R367" s="2" t="n"/>
      <c r="S367" s="4" t="n"/>
      <c r="T367" s="4" t="n"/>
      <c r="U367" s="7" t="n"/>
      <c r="V367" s="3" t="inlineStr">
        <is>
          <t>http://alerjln1.alerj.rj.gov.br/scpro1519.nsf/18c1dd68f96be3e7832566ec0018d833/281cb9b6242358d883258146005e76cb?OpenDocument</t>
        </is>
      </c>
      <c r="W367" s="3">
        <f>RIGHT(C367, 4)</f>
        <v/>
      </c>
      <c r="X367" s="3">
        <f>LEFT(C367, LEN(C367) - 5)</f>
        <v/>
      </c>
    </row>
    <row r="368" ht="45" customHeight="1" s="79">
      <c r="A368" s="2" t="inlineStr">
        <is>
          <t>Projeto Lei</t>
        </is>
      </c>
      <c r="B368" s="4" t="n"/>
      <c r="C368" s="73" t="inlineStr">
        <is>
          <t>5906/2022</t>
        </is>
      </c>
      <c r="D368" s="2" t="inlineStr">
        <is>
          <t>INSTITUI O PROGRAMA “IMUNIDADE EM DIA NAS ESCOLAS” NA REDE PÚBLICA DE ENSINO DO ESTADO DO RIO DE JANEIRO.</t>
        </is>
      </c>
      <c r="E368" s="2" t="inlineStr">
        <is>
          <t>DR DEODALTO</t>
        </is>
      </c>
      <c r="F368" s="18" t="inlineStr">
        <is>
          <t>ZEIDAN</t>
        </is>
      </c>
      <c r="G368" s="10" t="n"/>
      <c r="H368" s="10" t="n"/>
      <c r="I368" s="4" t="n"/>
      <c r="J368" s="9" t="n">
        <v>46107</v>
      </c>
      <c r="K368" s="9" t="n">
        <v>46111</v>
      </c>
      <c r="L368" s="4" t="n"/>
      <c r="M368" s="4" t="n"/>
      <c r="N368" s="4" t="n"/>
      <c r="O368" s="4" t="n"/>
      <c r="P368" s="4" t="n"/>
      <c r="Q368" s="12" t="inlineStr">
        <is>
          <t>Sim</t>
        </is>
      </c>
      <c r="R368" s="2" t="n"/>
      <c r="S368" s="4" t="n"/>
      <c r="T368" s="4" t="n"/>
      <c r="U368" s="7" t="n"/>
      <c r="V368" s="3" t="inlineStr">
        <is>
          <t>http://alerjln1.alerj.rj.gov.br/scpro2327.nsf/34c4e2da9b17c0d3832566ec0018d830/4cef5de5c4a9f82203258a440053fc5f?OpenDocument</t>
        </is>
      </c>
      <c r="W368" s="3">
        <f>RIGHT(C368, 4)</f>
        <v/>
      </c>
      <c r="X368" s="3">
        <f>LEFT(C368, LEN(C368) - 5)</f>
        <v/>
      </c>
    </row>
    <row r="369" ht="75" customHeight="1" s="79">
      <c r="A369" s="2" t="inlineStr">
        <is>
          <t>Projeto Lei</t>
        </is>
      </c>
      <c r="B369" s="4" t="n"/>
      <c r="C369" s="73" t="inlineStr">
        <is>
          <t>4483/2021</t>
        </is>
      </c>
      <c r="D369" s="2" t="inlineStr">
        <is>
          <t>INCLUA-SE O PARÁGRAFO ÚNICO NO ART.40 DA LEI Nº 287, DE 04 DE DEZEMBRO DE 1979, QUE APROVA O CÓDIGO DE ADMINISTRAÇÃO FINANCEIRA E CONTABILIDADE PÚBLICA DO ESTADO DO RIO DE JANEIRO E DÁ OUTRAS PROVIDÊNCIAS.</t>
        </is>
      </c>
      <c r="E369" s="2" t="inlineStr">
        <is>
          <t>ANDERSON MORAES</t>
        </is>
      </c>
      <c r="F369" s="18" t="inlineStr">
        <is>
          <t>ZEIDAN</t>
        </is>
      </c>
      <c r="G369" s="10" t="n"/>
      <c r="H369" s="10" t="n"/>
      <c r="I369" s="4" t="n"/>
      <c r="J369" s="9" t="n">
        <v>46111</v>
      </c>
      <c r="K369" s="9" t="n">
        <v>46111</v>
      </c>
      <c r="L369" s="4" t="n"/>
      <c r="M369" s="4" t="n"/>
      <c r="N369" s="4" t="n"/>
      <c r="O369" s="4" t="n"/>
      <c r="P369" s="4" t="n"/>
      <c r="Q369" s="12" t="inlineStr">
        <is>
          <t>Sim</t>
        </is>
      </c>
      <c r="R369" s="2" t="n"/>
      <c r="S369" s="4" t="n"/>
      <c r="T369" s="4" t="n"/>
      <c r="U369" s="7" t="n"/>
      <c r="V369" s="3" t="inlineStr">
        <is>
          <t>http://alerjln1.alerj.rj.gov.br/scpro1923.nsf/18c1dd68f96be3e7832566ec0018d833/54689ffedadae64e0325871b005faed3?OpenDocument</t>
        </is>
      </c>
      <c r="W369" s="3">
        <f>RIGHT(C369, 4)</f>
        <v/>
      </c>
      <c r="X369" s="3">
        <f>LEFT(C369, LEN(C369) - 5)</f>
        <v/>
      </c>
    </row>
    <row r="370" ht="60" customHeight="1" s="79">
      <c r="A370" s="2" t="inlineStr">
        <is>
          <t>Projeto Lei</t>
        </is>
      </c>
      <c r="B370" s="4" t="n"/>
      <c r="C370" s="73" t="inlineStr">
        <is>
          <t>2878/2020</t>
        </is>
      </c>
      <c r="D370" s="2" t="inlineStr">
        <is>
          <t>CRIA O CARTÃO DE SEGURANÇA, FERRAMENTA DE AUXÍLIO PARA EVENTUAL NECESSIDADE DE LOCALIZAÇÃO DE CRIANÇAS E ADOLESCENTES DESAPARECIDOS.</t>
        </is>
      </c>
      <c r="E370" s="2" t="inlineStr">
        <is>
          <t>DANNIEL LIBRELON</t>
        </is>
      </c>
      <c r="F370" s="18" t="inlineStr">
        <is>
          <t>RENATO MIRANDA</t>
        </is>
      </c>
      <c r="G370" s="10" t="n"/>
      <c r="H370" s="10" t="n"/>
      <c r="I370" s="4" t="n"/>
      <c r="J370" s="9" t="n">
        <v>46119</v>
      </c>
      <c r="K370" s="9" t="n">
        <v>46122</v>
      </c>
      <c r="L370" s="4" t="n"/>
      <c r="M370" s="4" t="n"/>
      <c r="N370" s="4" t="n"/>
      <c r="O370" s="4" t="n"/>
      <c r="P370" s="4" t="n"/>
      <c r="Q370" s="12" t="inlineStr">
        <is>
          <t>Sim</t>
        </is>
      </c>
      <c r="R370" s="2" t="n"/>
      <c r="S370" s="4" t="n"/>
      <c r="T370" s="4" t="n"/>
      <c r="U370" s="7" t="n"/>
      <c r="V370" s="3" t="inlineStr">
        <is>
          <t>http://alerjln1.alerj.rj.gov.br/scpro1923.nsf/18c1dd68f96be3e7832566ec0018d833/0f36ea55a3199c6d032585a6005b8cf1?OpenDocument</t>
        </is>
      </c>
      <c r="W370" s="3">
        <f>RIGHT(C370, 4)</f>
        <v/>
      </c>
      <c r="X370" s="3">
        <f>LEFT(C370, LEN(C370) - 5)</f>
        <v/>
      </c>
    </row>
    <row r="371" ht="30" customHeight="1" s="79">
      <c r="A371" s="2" t="inlineStr">
        <is>
          <t>Projeto Lei</t>
        </is>
      </c>
      <c r="B371" s="4" t="n"/>
      <c r="C371" s="73" t="inlineStr">
        <is>
          <t>937/2023</t>
        </is>
      </c>
      <c r="D371" s="2" t="inlineStr">
        <is>
          <t>DISPÕE SOBRE AS ATRIBUIÇÕES DA DELEGACIA DE DEFESA DOS SERVIÇOS DELEGADOS.</t>
        </is>
      </c>
      <c r="E371" s="2" t="inlineStr">
        <is>
          <t>FABIO F SILVA</t>
        </is>
      </c>
      <c r="F371" s="18" t="inlineStr">
        <is>
          <t>RENATO MIRANDA</t>
        </is>
      </c>
      <c r="G371" s="10" t="n"/>
      <c r="H371" s="10" t="n"/>
      <c r="I371" s="4" t="n"/>
      <c r="J371" s="9" t="n">
        <v>46119</v>
      </c>
      <c r="K371" s="9" t="n">
        <v>46122</v>
      </c>
      <c r="L371" s="4" t="n"/>
      <c r="M371" s="4" t="n"/>
      <c r="N371" s="4" t="n"/>
      <c r="O371" s="4" t="n"/>
      <c r="P371" s="4" t="n"/>
      <c r="Q371" s="12" t="inlineStr">
        <is>
          <t>Sim</t>
        </is>
      </c>
      <c r="R371" s="2" t="n"/>
      <c r="S371" s="4" t="n"/>
      <c r="T371" s="4" t="n"/>
      <c r="U371" s="7" t="n"/>
      <c r="V371" s="3" t="inlineStr">
        <is>
          <t>http://alerjln1.alerj.rj.gov.br/scpro2327.nsf/18c1dd68f96be3e7832566ec0018d833/2ef1c1ab5d960449032589a500459547?OpenDocument</t>
        </is>
      </c>
      <c r="W371" s="3">
        <f>RIGHT(C371, 4)</f>
        <v/>
      </c>
      <c r="X371" s="3">
        <f>LEFT(C371, LEN(C371) - 5)</f>
        <v/>
      </c>
    </row>
    <row r="372" ht="45" customHeight="1" s="79">
      <c r="A372" s="2" t="inlineStr">
        <is>
          <t>Projeto Lei</t>
        </is>
      </c>
      <c r="B372" s="4" t="n"/>
      <c r="C372" s="73" t="inlineStr">
        <is>
          <t>3318/2024</t>
        </is>
      </c>
      <c r="D372" s="2" t="inlineStr">
        <is>
          <t>ALTERA A LEI Nº 3469, DE 28 DE SETEMBRO DE 2000, QUE INSTITUI O PROGRAMA ESTADUAL SEGURANÇA NAS ESCOLAS E DÁ OUTRAS PROVIDÊNCIAS.</t>
        </is>
      </c>
      <c r="E372" s="2" t="inlineStr">
        <is>
          <t>INDIA ARMELAU</t>
        </is>
      </c>
      <c r="F372" s="18" t="inlineStr">
        <is>
          <t>RENATO MIRANDA</t>
        </is>
      </c>
      <c r="G372" s="10" t="n"/>
      <c r="H372" s="10" t="n"/>
      <c r="I372" s="4" t="n"/>
      <c r="J372" s="9" t="n">
        <v>46119</v>
      </c>
      <c r="K372" s="9" t="n">
        <v>46122</v>
      </c>
      <c r="L372" s="4" t="n"/>
      <c r="M372" s="4" t="n"/>
      <c r="N372" s="4" t="n"/>
      <c r="O372" s="4" t="n"/>
      <c r="P372" s="4" t="n"/>
      <c r="Q372" s="12" t="inlineStr">
        <is>
          <t>Sim</t>
        </is>
      </c>
      <c r="R372" s="2" t="n"/>
      <c r="S372" s="4" t="n"/>
      <c r="T372" s="4" t="n"/>
      <c r="U372" s="7" t="n"/>
      <c r="V372" s="3" t="inlineStr">
        <is>
          <t>http://alerjln1.alerj.rj.gov.br/scpro2327.nsf/18c1dd68f96be3e7832566ec0018d833/600c32e20f811c4e03258af500576e28?OpenDocument</t>
        </is>
      </c>
      <c r="W372" s="3">
        <f>RIGHT(C372, 4)</f>
        <v/>
      </c>
      <c r="X372" s="3">
        <f>LEFT(C372, LEN(C372) - 5)</f>
        <v/>
      </c>
    </row>
    <row r="373" ht="75" customHeight="1" s="79">
      <c r="A373" s="2" t="inlineStr">
        <is>
          <t>Projeto Lei</t>
        </is>
      </c>
      <c r="B373" s="4" t="n"/>
      <c r="C373" s="73" t="inlineStr">
        <is>
          <t>EP 4325/2018</t>
        </is>
      </c>
      <c r="D373" s="2" t="inlineStr">
        <is>
          <t>CRIA O PROGRAMA DE REPARAÇÃO ECONÔMICA PARA AS CRIANÇAS, ADOLESCENTES E JOVENS, FILHOS E FILHAS DE MULHERES VÍTIMAS DE CRIMES DE VIOLÊNCIA CONTRA A MULHER, FEMINICÍDIO OU INVALIDEZ</t>
        </is>
      </c>
      <c r="E373" s="2" t="inlineStr">
        <is>
          <t>CARLOS MINC</t>
        </is>
      </c>
      <c r="F373" s="18" t="inlineStr">
        <is>
          <t>RENATO MIRANDA</t>
        </is>
      </c>
      <c r="G373" s="10" t="n"/>
      <c r="H373" s="10" t="n"/>
      <c r="I373" s="4" t="n"/>
      <c r="J373" s="9" t="n">
        <v>46120</v>
      </c>
      <c r="K373" s="9" t="n">
        <v>46122</v>
      </c>
      <c r="L373" s="4" t="n"/>
      <c r="M373" s="4" t="n"/>
      <c r="N373" s="4" t="n"/>
      <c r="O373" s="4" t="n"/>
      <c r="P373" s="4" t="n"/>
      <c r="Q373" s="12" t="inlineStr">
        <is>
          <t>Sim</t>
        </is>
      </c>
      <c r="R373" s="2" t="n"/>
      <c r="S373" s="4" t="n"/>
      <c r="T373" s="4" t="n"/>
      <c r="U373" s="7" t="n"/>
      <c r="V373" s="3" t="inlineStr">
        <is>
          <t>http://alerjln1.alerj.rj.gov.br/scpro1519.nsf/18c1dd68f96be3e7832566ec0018d833/15eec9fc65414871832582eb005aed19?OpenDocument</t>
        </is>
      </c>
      <c r="W373" s="3">
        <f>RIGHT(C373, 4)</f>
        <v/>
      </c>
      <c r="X373" s="3">
        <f>LEFT(C373, LEN(C373) - 5)</f>
        <v/>
      </c>
    </row>
    <row r="374" ht="60" customHeight="1" s="79">
      <c r="A374" s="2" t="inlineStr">
        <is>
          <t>Projeto Lei</t>
        </is>
      </c>
      <c r="B374" s="4" t="n"/>
      <c r="C374" s="73" t="inlineStr">
        <is>
          <t>3122/2020</t>
        </is>
      </c>
      <c r="D374" s="2" t="inlineStr">
        <is>
          <t>TORNA OBRIGATÓRIA A PRIORIDADE NOS ATENDIMENTOS QUE NECESSITAM DE FILAS, À    PESSOAS	COM ESPONDILITE ANQUILOSANTE, NO ÂMBITO DO ESTADO DO RIO DE JANEIRO.</t>
        </is>
      </c>
      <c r="E374" s="2" t="inlineStr">
        <is>
          <t>DANNIEL LIBRELON</t>
        </is>
      </c>
      <c r="F374" s="18" t="inlineStr">
        <is>
          <t>RENATO MIRANDA</t>
        </is>
      </c>
      <c r="G374" s="10" t="n"/>
      <c r="H374" s="10" t="n"/>
      <c r="I374" s="4" t="n"/>
      <c r="J374" s="9" t="n">
        <v>46120</v>
      </c>
      <c r="K374" s="9" t="n">
        <v>46122</v>
      </c>
      <c r="L374" s="4" t="n"/>
      <c r="M374" s="4" t="n"/>
      <c r="N374" s="4" t="n"/>
      <c r="O374" s="4" t="n"/>
      <c r="P374" s="4" t="n"/>
      <c r="Q374" s="12" t="inlineStr">
        <is>
          <t>Sim</t>
        </is>
      </c>
      <c r="R374" s="2" t="n"/>
      <c r="S374" s="4" t="n"/>
      <c r="T374" s="4" t="n"/>
      <c r="U374" s="7" t="n"/>
      <c r="V374" s="3" t="inlineStr">
        <is>
          <t>http://alerjln1.alerj.rj.gov.br/scpro1923.nsf/18c1dd68f96be3e7832566ec0018d833/23b079a73fd432fd032585e40055dadc?OpenDocument</t>
        </is>
      </c>
      <c r="W374" s="3">
        <f>RIGHT(C374, 4)</f>
        <v/>
      </c>
      <c r="X374" s="3">
        <f>LEFT(C374, LEN(C374) - 5)</f>
        <v/>
      </c>
    </row>
    <row r="375" ht="90" customHeight="1" s="79">
      <c r="A375" s="2" t="inlineStr">
        <is>
          <t>Projeto Lei</t>
        </is>
      </c>
      <c r="B375" s="4" t="n"/>
      <c r="C375" s="73" t="inlineStr">
        <is>
          <t>444/2023</t>
        </is>
      </c>
      <c r="D375" s="2" t="inlineStr">
        <is>
          <t>ALTERA A LEI Nº 9.650 DE 13 DE ABRIL DE 2022, QUE DISPÕE SOBRE NOMEAÇÃO E POSSE DOS CANDIDATOS APROVADOS EM CONCURSO PÚBLICO NO ÂMBITO DO ESTADO DO RIO DE JANEIRO, FORA DO NÚMERO DE VAGAS, MAS DENTRO DO PRAZO DE VALIDADE DO CERTAME, NA FORMA QUE MENCIONA.</t>
        </is>
      </c>
      <c r="E375" s="2" t="inlineStr">
        <is>
          <t>RODRIGO AMORIM</t>
        </is>
      </c>
      <c r="F375" s="18" t="inlineStr">
        <is>
          <t>RENATO MIRANDA</t>
        </is>
      </c>
      <c r="G375" s="10" t="n"/>
      <c r="H375" s="10" t="n"/>
      <c r="I375" s="4" t="n"/>
      <c r="J375" s="9" t="n">
        <v>46120</v>
      </c>
      <c r="K375" s="9" t="n">
        <v>46122</v>
      </c>
      <c r="L375" s="4" t="n"/>
      <c r="M375" s="4" t="n"/>
      <c r="N375" s="4" t="n"/>
      <c r="O375" s="4" t="n"/>
      <c r="P375" s="4" t="n"/>
      <c r="Q375" s="12" t="inlineStr">
        <is>
          <t>Sim</t>
        </is>
      </c>
      <c r="R375" s="2" t="n"/>
      <c r="S375" s="4" t="n"/>
      <c r="T375" s="4" t="n"/>
      <c r="U375" s="7" t="n"/>
      <c r="V375" s="3" t="inlineStr">
        <is>
          <t>http://alerjln1.alerj.rj.gov.br/scpro2327.nsf/18c1dd68f96be3e7832566ec0018d833/6c14e02fed3c5a11032589730065a7a0?OpenDocument</t>
        </is>
      </c>
      <c r="W375" s="3">
        <f>RIGHT(C375, 4)</f>
        <v/>
      </c>
      <c r="X375" s="3">
        <f>LEFT(C375, LEN(C375) - 5)</f>
        <v/>
      </c>
    </row>
    <row r="376" ht="90" customHeight="1" s="79">
      <c r="A376" s="2" t="inlineStr">
        <is>
          <t>Projeto Lei</t>
        </is>
      </c>
      <c r="B376" s="4" t="n"/>
      <c r="C376" s="73" t="inlineStr">
        <is>
          <t>799/2023</t>
        </is>
      </c>
      <c r="D376" s="2" t="inlineStr">
        <is>
          <t>CRIA O PROGRAMA DE EDUCAÇÃO E FISCALIZAÇÃO PARA AMPLIAR A PROTEÇÃO DOS AGENTES DE SEGURANÇA PÚBLICA E PRIVADA; COLECIONADORES, ATIRADORES E CAÇADORES (CACS) E CIVIS, EM CASO DE PORTE DE ARMA DE FOGO SOB EFEITO DE BEBIDA ALCOÓLICA.</t>
        </is>
      </c>
      <c r="E376" s="2" t="inlineStr">
        <is>
          <t>CARLOS MINC</t>
        </is>
      </c>
      <c r="F376" s="18" t="inlineStr">
        <is>
          <t>RENATO MIRANDA</t>
        </is>
      </c>
      <c r="G376" s="10" t="n"/>
      <c r="H376" s="10" t="n"/>
      <c r="I376" s="4" t="n"/>
      <c r="J376" s="9" t="n">
        <v>46120</v>
      </c>
      <c r="K376" s="9" t="n">
        <v>46122</v>
      </c>
      <c r="L376" s="4" t="n"/>
      <c r="M376" s="4" t="n"/>
      <c r="N376" s="4" t="n"/>
      <c r="O376" s="4" t="n"/>
      <c r="P376" s="4" t="n"/>
      <c r="Q376" s="12" t="inlineStr">
        <is>
          <t>Sim</t>
        </is>
      </c>
      <c r="R376" s="2" t="n"/>
      <c r="S376" s="4" t="n"/>
      <c r="T376" s="4" t="n"/>
      <c r="U376" s="7" t="n"/>
      <c r="V376" s="3" t="inlineStr">
        <is>
          <t>http://alerjln1.alerj.rj.gov.br/scpro2327.nsf/18c1dd68f96be3e7832566ec0018d833/7d08552a1be92dcc0325899600755edf?OpenDocument</t>
        </is>
      </c>
      <c r="W376" s="3">
        <f>RIGHT(C376, 4)</f>
        <v/>
      </c>
      <c r="X376" s="3">
        <f>LEFT(C376, LEN(C376) - 5)</f>
        <v/>
      </c>
    </row>
    <row r="377" ht="60" customHeight="1" s="79">
      <c r="A377" s="2" t="inlineStr">
        <is>
          <t>Projeto Lei</t>
        </is>
      </c>
      <c r="B377" s="4" t="n"/>
      <c r="C377" s="73" t="inlineStr">
        <is>
          <t>2162/2023</t>
        </is>
      </c>
      <c r="D377" s="2" t="inlineStr">
        <is>
          <t>CRIA O CENTRO CULTURAL CIÊNCIAS FORENSES DO ESTADO DO RIO DE JANEIRO E DÁ OUTRAS PROVIDÊNCIAS</t>
        </is>
      </c>
      <c r="E377" s="2" t="inlineStr">
        <is>
          <t>CARLOS MINC</t>
        </is>
      </c>
      <c r="F377" s="18" t="inlineStr">
        <is>
          <t>CARLOS MACEDO</t>
        </is>
      </c>
      <c r="G377" s="10" t="n"/>
      <c r="H377" s="10" t="n"/>
      <c r="I377" s="4" t="n"/>
      <c r="J377" s="9" t="n">
        <v>46120</v>
      </c>
      <c r="K377" s="9" t="n">
        <v>46168</v>
      </c>
      <c r="L377" s="4" t="n"/>
      <c r="M377" s="4" t="n"/>
      <c r="N377" s="4" t="n"/>
      <c r="O377" s="4" t="n"/>
      <c r="P377" s="4" t="n"/>
      <c r="Q377" s="12" t="inlineStr">
        <is>
          <t>Sim</t>
        </is>
      </c>
      <c r="R377" s="2" t="inlineStr">
        <is>
          <t>Estava com Dep. Vinícius Cozzolino, a partir de 10/04/2026, e quando o mesmo deixou a comissão, pegamos de volta</t>
        </is>
      </c>
      <c r="S377" s="4" t="n"/>
      <c r="T377" s="4" t="n"/>
      <c r="U377" s="7" t="n"/>
      <c r="V377" s="3" t="inlineStr">
        <is>
          <t>http://alerjln1.alerj.rj.gov.br/scpro2327.nsf/18c1dd68f96be3e7832566ec0018d833/a78253b4759fb00c03258a3500677ec2?OpenDocument</t>
        </is>
      </c>
      <c r="W377" s="3">
        <f>RIGHT(C377, 4)</f>
        <v/>
      </c>
      <c r="X377" s="3">
        <f>LEFT(C377, LEN(C377) - 5)</f>
        <v/>
      </c>
    </row>
    <row r="378" ht="60" customHeight="1" s="79">
      <c r="A378" s="2" t="inlineStr">
        <is>
          <t>Projeto Lei</t>
        </is>
      </c>
      <c r="B378" s="4" t="n"/>
      <c r="C378" s="73" t="inlineStr">
        <is>
          <t>2250/2023</t>
        </is>
      </c>
      <c r="D378" s="2" t="inlineStr">
        <is>
          <t>CRIA CRITÉRIOS PARA GARANTIR A TRANSPARÊNCIA PARA AS POLÍTICAS HABITACIONAIS DE INTERESSE SOCIAL E DÁ OUTRAS PROVIDÊNCIAS.</t>
        </is>
      </c>
      <c r="E378" s="2" t="inlineStr">
        <is>
          <t>CLAUDIO CAIADO</t>
        </is>
      </c>
      <c r="F378" s="18" t="inlineStr">
        <is>
          <t>ANDRÉ CORRÊA</t>
        </is>
      </c>
      <c r="G378" s="10" t="n"/>
      <c r="H378" s="10" t="n"/>
      <c r="I378" s="4" t="n"/>
      <c r="J378" s="9" t="n">
        <v>46120</v>
      </c>
      <c r="K378" s="9" t="n">
        <v>46168</v>
      </c>
      <c r="L378" s="4" t="n"/>
      <c r="M378" s="4" t="n"/>
      <c r="N378" s="4" t="n"/>
      <c r="O378" s="4" t="n"/>
      <c r="P378" s="4" t="n"/>
      <c r="Q378" s="12" t="inlineStr">
        <is>
          <t>Sim</t>
        </is>
      </c>
      <c r="R378" s="2" t="inlineStr">
        <is>
          <t>Estava com Dep. Vinícius Cozzolino, a partir de 10/04/2026, e quando o mesmo deixou a comissão, pegamos de volta</t>
        </is>
      </c>
      <c r="S378" s="4" t="n"/>
      <c r="T378" s="4" t="n"/>
      <c r="U378" s="7" t="n"/>
      <c r="V378" s="3" t="inlineStr">
        <is>
          <t>http://alerjln1.alerj.rj.gov.br/scpro2327.nsf/18c1dd68f96be3e7832566ec0018d833/657b9326dfe407ed03258a3d004bb0ab?OpenDocument</t>
        </is>
      </c>
      <c r="W378" s="3">
        <f>RIGHT(C378, 4)</f>
        <v/>
      </c>
      <c r="X378" s="3">
        <f>LEFT(C378, LEN(C378) - 5)</f>
        <v/>
      </c>
    </row>
    <row r="379" ht="120" customHeight="1" s="79">
      <c r="A379" s="2" t="inlineStr">
        <is>
          <t>Projeto Lei</t>
        </is>
      </c>
      <c r="B379" s="4" t="n"/>
      <c r="C379" s="73" t="inlineStr">
        <is>
          <t>2782/2023</t>
        </is>
      </c>
      <c r="D379" s="2" t="inlineStr">
        <is>
          <t>REGULAMENTA O DISPOSTO NO INCISO IV DO ARTIGO 7º DA LEI 7989 DE 14 DE JUNHO DE 2018 QUE “DISPÕE SOBRE O SISTEMA DE CONTROLE INTERNO DO PODER EXECUTIVO DO ESTADO DO RIO DE JANEIRO, CRIA A CONTROLADORIA GERAL DO ESTADO DO RIO DE JANEIRO E O FUNDO DE APRIMORAMENTO DE CONTROLE INTERNO, ORGANIZA AS CARREIRAS DE CONTROLE INTERNO, E DÁ OUTRAS PROVIDÊNCIAS”.</t>
        </is>
      </c>
      <c r="E379" s="2" t="inlineStr">
        <is>
          <t>CARLOS MINC</t>
        </is>
      </c>
      <c r="F379" s="18" t="inlineStr">
        <is>
          <t>CARLOS MACEDO</t>
        </is>
      </c>
      <c r="G379" s="10" t="n"/>
      <c r="H379" s="10" t="n"/>
      <c r="I379" s="4" t="n"/>
      <c r="J379" s="9" t="n">
        <v>46120</v>
      </c>
      <c r="K379" s="9" t="n">
        <v>46168</v>
      </c>
      <c r="L379" s="4" t="n"/>
      <c r="M379" s="4" t="n"/>
      <c r="N379" s="4" t="n"/>
      <c r="O379" s="4" t="n"/>
      <c r="P379" s="4" t="n"/>
      <c r="Q379" s="12" t="inlineStr">
        <is>
          <t>Sim</t>
        </is>
      </c>
      <c r="R379" s="2" t="inlineStr">
        <is>
          <t>Estava com Dep. Vinícius Cozzolino, a partir de 10/04/2026, e quando o mesmo deixou a comissão, pegamos de volta</t>
        </is>
      </c>
      <c r="S379" s="4" t="n"/>
      <c r="T379" s="4" t="n"/>
      <c r="U379" s="7" t="n"/>
      <c r="V379" s="3" t="inlineStr">
        <is>
          <t>http://alerjln1.alerj.rj.gov.br/scpro2327.nsf/18c1dd68f96be3e7832566ec0018d833/1a3465ca0091c7ce03258a840067a3cd?OpenDocument</t>
        </is>
      </c>
      <c r="W379" s="3">
        <f>RIGHT(C379, 4)</f>
        <v/>
      </c>
      <c r="X379" s="3">
        <f>LEFT(C379, LEN(C379) - 5)</f>
        <v/>
      </c>
    </row>
    <row r="380" ht="60" customHeight="1" s="79">
      <c r="A380" s="2" t="inlineStr">
        <is>
          <t>Projeto Lei</t>
        </is>
      </c>
      <c r="B380" s="4" t="n"/>
      <c r="C380" s="73" t="inlineStr">
        <is>
          <t>4511/2024</t>
        </is>
      </c>
      <c r="D380" s="2" t="inlineStr">
        <is>
          <t>ALTERA A LEI Nº 5.588/2009 PARA INCLUIR OS POLICIAIS PENAIS DO ESTADO DO RIO DE JANEIRO NO ROL DE AGENTES DE SEGURANÇA DE QUE TRATA A REFERIDA LEI.</t>
        </is>
      </c>
      <c r="E380" s="2" t="inlineStr">
        <is>
          <t>CARLOS MINC</t>
        </is>
      </c>
      <c r="F380" s="18" t="inlineStr">
        <is>
          <t>GUSTAVO TUTUCA</t>
        </is>
      </c>
      <c r="G380" s="10" t="n"/>
      <c r="H380" s="10" t="n"/>
      <c r="I380" s="4" t="n"/>
      <c r="J380" s="9" t="n">
        <v>46120</v>
      </c>
      <c r="K380" s="9" t="n">
        <v>46168</v>
      </c>
      <c r="L380" s="4" t="n"/>
      <c r="M380" s="4" t="n"/>
      <c r="N380" s="4" t="n"/>
      <c r="O380" s="4" t="n"/>
      <c r="P380" s="4" t="n"/>
      <c r="Q380" s="12" t="inlineStr">
        <is>
          <t>Sim</t>
        </is>
      </c>
      <c r="R380" s="2" t="inlineStr">
        <is>
          <t>Estava com Dep. Vinícius Cozzolino, a partir de 10/04/2026, e quando o mesmo deixou a comissão, pegamos de volta</t>
        </is>
      </c>
      <c r="S380" s="4" t="n"/>
      <c r="T380" s="4" t="n"/>
      <c r="U380" s="7" t="n"/>
      <c r="V380" s="3" t="inlineStr">
        <is>
          <t>http://alerjln1.alerj.rj.gov.br/scpro2327.nsf/18c1dd68f96be3e7832566ec0018d833/8f85b8eebd67d65403258be9006bc24a?OpenDocument</t>
        </is>
      </c>
      <c r="W380" s="3">
        <f>RIGHT(C380, 4)</f>
        <v/>
      </c>
      <c r="X380" s="3">
        <f>LEFT(C380, LEN(C380) - 5)</f>
        <v/>
      </c>
    </row>
    <row r="381" ht="120" customHeight="1" s="79">
      <c r="A381" s="2" t="inlineStr">
        <is>
          <t>Projeto Lei</t>
        </is>
      </c>
      <c r="B381" s="4" t="n"/>
      <c r="C381" s="73" t="inlineStr">
        <is>
          <t>EP 1605/2019</t>
        </is>
      </c>
      <c r="D381" s="2" t="inlineStr">
        <is>
          <t>EMENTA: CRIA O PROGRAMA DE FORMAÇÃO PARA ENFRENTAMENTO DA VIOLÊNCIA CONTRA AS ESTUDANTES, VOLTADO AOS DOCENTES E CORPO FUNCIONAL, PARA IDENTIFICAÇAO E ENCAMINHAMENTO DOS CASOS DE ABUSOS/VIOLÊNCIA, NO ÂMBITO DAS ESCOLAS ESTADUAIS DO ESTADO DO RIO DE JANEIRO.</t>
        </is>
      </c>
      <c r="E381" s="2" t="inlineStr">
        <is>
          <t>ENFERMEIRA REJANE,CHICÃO BULHÕES,DANI MONTEIRO,MARTHA ROCHA,MÔNICA FRANCISCO,RENATA SOUZA,ROSANE FÉLIX,ZEIDAN LULA,TIA JU</t>
        </is>
      </c>
      <c r="F381" s="18" t="inlineStr">
        <is>
          <t>ZEIDAN</t>
        </is>
      </c>
      <c r="G381" s="10" t="n"/>
      <c r="H381" s="10" t="n"/>
      <c r="I381" s="4" t="n"/>
      <c r="J381" s="9" t="n">
        <v>46121</v>
      </c>
      <c r="K381" s="9" t="n">
        <v>46168</v>
      </c>
      <c r="L381" s="4" t="n"/>
      <c r="M381" s="4" t="n"/>
      <c r="N381" s="4" t="n"/>
      <c r="O381" s="4" t="n"/>
      <c r="P381" s="4" t="n"/>
      <c r="Q381" s="12" t="inlineStr">
        <is>
          <t>Sim</t>
        </is>
      </c>
      <c r="R381" s="2" t="inlineStr">
        <is>
          <t>Estava com Dep. Vinícius Cozzolino, a partir de 10/04/2026, e quando o mesmo deixou a comissão, pegamos de volta</t>
        </is>
      </c>
      <c r="S381" s="4" t="n"/>
      <c r="T381" s="4" t="n"/>
      <c r="U381" s="7" t="n"/>
      <c r="V381" s="3" t="inlineStr">
        <is>
          <t>http://alerjln1.alerj.rj.gov.br/scpro1923.nsf/18c1dd68f96be3e7832566ec0018d833/35cc8d08de71ca5c832584aa0050822c?OpenDocument</t>
        </is>
      </c>
      <c r="W381" s="3">
        <f>RIGHT(C381, 4)</f>
        <v/>
      </c>
      <c r="X381" s="3">
        <f>LEFT(C381, LEN(C381) - 5)</f>
        <v/>
      </c>
    </row>
    <row r="382" ht="75" customHeight="1" s="79">
      <c r="A382" s="2" t="inlineStr">
        <is>
          <t>Projeto Lei</t>
        </is>
      </c>
      <c r="B382" s="4" t="n"/>
      <c r="C382" s="73" t="inlineStr">
        <is>
          <t>2470/2020</t>
        </is>
      </c>
      <c r="D382" s="2" t="inlineStr">
        <is>
          <t>DISPÕE SOBRE A OBRIGATORIEDADE DE LIMITAR O TEMPO DE ESPERA DE ATENDIMENTO NAS UNIDADES DE SAÚDE DA REDE PÚBLICA DO ESTADO DO RIO DE JANEIRO E DÁ OUTRAS PROVIDÊNCIAS.</t>
        </is>
      </c>
      <c r="E382" s="2" t="inlineStr">
        <is>
          <t>DANNIEL LIBRELON</t>
        </is>
      </c>
      <c r="F382" s="18" t="inlineStr">
        <is>
          <t>GT</t>
        </is>
      </c>
      <c r="G382" s="10" t="n"/>
      <c r="H382" s="10" t="n"/>
      <c r="I382" s="4" t="n"/>
      <c r="J382" s="17" t="inlineStr">
        <is>
          <t>MUITO TEMPO
ATRÁS</t>
        </is>
      </c>
      <c r="K382" s="4" t="n"/>
      <c r="L382" s="4" t="n"/>
      <c r="M382" s="4" t="n"/>
      <c r="N382" s="4" t="n"/>
      <c r="O382" s="4" t="n"/>
      <c r="P382" s="4" t="n"/>
      <c r="Q382" s="12" t="inlineStr">
        <is>
          <t>Sim</t>
        </is>
      </c>
      <c r="R382" s="2" t="inlineStr">
        <is>
          <t>Fui ao gabinete em 13/04/2026 e anotei esses projeto parados lá
Retirei do gab. Do relator ANDRÉ CORREA, pois mudou a composição da Com.</t>
        </is>
      </c>
      <c r="S382" s="4" t="n"/>
      <c r="T382" s="4" t="n"/>
      <c r="U382" s="7" t="n"/>
      <c r="V382" s="3" t="inlineStr">
        <is>
          <t>http://alerjln1.alerj.rj.gov.br/scpro1923.nsf/18c1dd68f96be3e7832566ec0018d833/9c45a6b45aa800b9032585590058143f?OpenDocument</t>
        </is>
      </c>
      <c r="W382" s="3">
        <f>RIGHT(C382, 4)</f>
        <v/>
      </c>
      <c r="X382" s="3">
        <f>LEFT(C382, LEN(C382) - 5)</f>
        <v/>
      </c>
    </row>
    <row r="383" ht="75" customHeight="1" s="79">
      <c r="A383" s="2" t="inlineStr">
        <is>
          <t>Projeto Lei</t>
        </is>
      </c>
      <c r="B383" s="4" t="n"/>
      <c r="C383" s="71" t="inlineStr">
        <is>
          <t>1984/2020</t>
        </is>
      </c>
      <c r="D383" s="72" t="inlineStr">
        <is>
          <t>AUTORIZA O PODER EXECUTIVO A ADOTAR MEDIDAS DE CONTENÇÃO À EPIDEMIAS VIRAIS NO ESTADO DO RIO DE JANEIRO.</t>
        </is>
      </c>
      <c r="E383" s="72" t="inlineStr">
        <is>
          <t>ANDRÉ L. CECILIANO</t>
        </is>
      </c>
      <c r="F383" s="18" t="inlineStr">
        <is>
          <t>NÃO ACHEI AQUI NA SALA!!!</t>
        </is>
      </c>
      <c r="G383" s="10" t="n"/>
      <c r="H383" s="10" t="n"/>
      <c r="I383" s="4" t="n"/>
      <c r="J383" s="17" t="inlineStr">
        <is>
          <t>MUITO TEMPO
ATRÁS</t>
        </is>
      </c>
      <c r="K383" s="9" t="n">
        <v>46168</v>
      </c>
      <c r="L383" s="4" t="n"/>
      <c r="M383" s="4" t="n"/>
      <c r="N383" s="4" t="n"/>
      <c r="O383" s="4" t="n"/>
      <c r="P383" s="4" t="n"/>
      <c r="Q383" s="12" t="inlineStr">
        <is>
          <t>Sim</t>
        </is>
      </c>
      <c r="R383" s="2" t="inlineStr">
        <is>
          <t>Fui ao gabinete em 13/04/2026 e anotei esses projeto parados lá
Retirei do gab. Do relator ANDRÉ CORREA, pois mudou a composição da Com.</t>
        </is>
      </c>
      <c r="S383" s="4" t="n"/>
      <c r="T383" s="4" t="n"/>
      <c r="U383" s="7" t="n"/>
      <c r="V383" s="3" t="inlineStr">
        <is>
          <t>http://alerjln1.alerj.rj.gov.br/scpro1923.nsf/18c1dd68f96be3e7832566ec0018d833/c7ebb0c0d6b2a3c2032585280067d1d3?OpenDocument</t>
        </is>
      </c>
      <c r="W383" s="3">
        <f>RIGHT(C383, 4)</f>
        <v/>
      </c>
      <c r="X383" s="3">
        <f>LEFT(C383, LEN(C383) - 5)</f>
        <v/>
      </c>
    </row>
    <row r="384" ht="75" customHeight="1" s="79">
      <c r="A384" s="2" t="inlineStr">
        <is>
          <t>Projeto Lei</t>
        </is>
      </c>
      <c r="B384" s="4" t="n"/>
      <c r="C384" s="73" t="inlineStr">
        <is>
          <t>742/2023</t>
        </is>
      </c>
      <c r="D384" s="2" t="inlineStr">
        <is>
          <t>DISPÕE SOBRE A CRIAÇÃO DE CADASTRO ESTADUAL PARA BLOQUEIO DO RECEBIMENTO DE LIGAÇÕES DE TELEMARKETING NO ESTADO DO RIO DE JANEIRO.</t>
        </is>
      </c>
      <c r="E384" s="2" t="inlineStr">
        <is>
          <t>VALDECY DA SAUDE</t>
        </is>
      </c>
      <c r="F384" s="18" t="inlineStr">
        <is>
          <t>ALEXANDRE KNOPLOCH</t>
        </is>
      </c>
      <c r="G384" s="10" t="n"/>
      <c r="H384" s="10" t="n"/>
      <c r="I384" s="4" t="n"/>
      <c r="J384" s="17" t="inlineStr">
        <is>
          <t>MUITO TEMPO
ATRÁS</t>
        </is>
      </c>
      <c r="K384" s="9" t="n">
        <v>46168</v>
      </c>
      <c r="L384" s="4" t="n"/>
      <c r="M384" s="4" t="n"/>
      <c r="N384" s="4" t="n"/>
      <c r="O384" s="4" t="n"/>
      <c r="P384" s="4" t="n"/>
      <c r="Q384" s="12" t="inlineStr">
        <is>
          <t>Sim</t>
        </is>
      </c>
      <c r="R384" s="2" t="inlineStr">
        <is>
          <t>Fui ao gabinete em 13/04/2026 e anotei esses projeto parados lá
Retirei do gab. Do relator ANDRÉ CORREA, pois mudou a composição da Com.</t>
        </is>
      </c>
      <c r="S384" s="4" t="n"/>
      <c r="T384" s="4" t="n"/>
      <c r="U384" s="7" t="n"/>
      <c r="V384" s="3" t="inlineStr">
        <is>
          <t>http://alerjln1.alerj.rj.gov.br/scpro2327.nsf/18c1dd68f96be3e7832566ec0018d833/9df47d85772b21590325898100509ab0?OpenDocument</t>
        </is>
      </c>
      <c r="W384" s="3">
        <f>RIGHT(C384, 4)</f>
        <v/>
      </c>
      <c r="X384" s="3">
        <f>LEFT(C384, LEN(C384) - 5)</f>
        <v/>
      </c>
    </row>
    <row r="385" ht="75" customHeight="1" s="79">
      <c r="A385" s="2" t="inlineStr">
        <is>
          <t>Projeto Lei</t>
        </is>
      </c>
      <c r="B385" s="4" t="n"/>
      <c r="C385" s="73" t="inlineStr">
        <is>
          <t>6425/2022</t>
        </is>
      </c>
      <c r="D385" s="2" t="inlineStr">
        <is>
          <t>ALTERA A LEI Nº 5.260, DE 11 DE JUNHO DE 2008, PARA REVOGAR A ALÍNEA “A”, DO INCISO II E A ALÍNEA “A” DO INCISO III, AMBAS DO ARTIGO 18, ONDE ESTABELECE O REGIME JURÍDICO PRÓPRIO E ÚNICO DA PREVIDÊNCIA SOCIAL E DÁ OUTRAS PROVIDÊNCIAS.</t>
        </is>
      </c>
      <c r="E385" s="2" t="inlineStr">
        <is>
          <t>CELIA JORDÃO</t>
        </is>
      </c>
      <c r="F385" s="18" t="inlineStr">
        <is>
          <t>GUSTAVO TUTUCA</t>
        </is>
      </c>
      <c r="G385" s="10" t="n"/>
      <c r="H385" s="10" t="n"/>
      <c r="I385" s="4" t="n"/>
      <c r="J385" s="17" t="inlineStr">
        <is>
          <t>MUITO TEMPO
ATRÁS</t>
        </is>
      </c>
      <c r="K385" s="9" t="n">
        <v>46168</v>
      </c>
      <c r="L385" s="4" t="n"/>
      <c r="M385" s="4" t="n"/>
      <c r="N385" s="4" t="n"/>
      <c r="O385" s="4" t="n"/>
      <c r="P385" s="4" t="n"/>
      <c r="Q385" s="12" t="inlineStr">
        <is>
          <t>Sim</t>
        </is>
      </c>
      <c r="R385" s="2" t="inlineStr">
        <is>
          <t>Fui ao gabinete em 13/04/2026 e anotei esses projeto parados lá
Retirei do gab. Do relator ANDRÉ CORREA, pois mudou a composição da Com.</t>
        </is>
      </c>
      <c r="S385" s="4" t="n"/>
      <c r="T385" s="4" t="n"/>
      <c r="U385" s="7" t="n"/>
      <c r="V385" s="3" t="inlineStr">
        <is>
          <t>http://alerjln1.alerj.rj.gov.br/scpro1923.nsf/18c1dd68f96be3e7832566ec0018d833/bf26d1774ec2683b032588da0068fa67?OpenDocument</t>
        </is>
      </c>
      <c r="W385" s="3">
        <f>RIGHT(C385, 4)</f>
        <v/>
      </c>
      <c r="X385" s="3">
        <f>LEFT(C385, LEN(C385) - 5)</f>
        <v/>
      </c>
    </row>
    <row r="386" ht="75" customHeight="1" s="79">
      <c r="A386" s="2" t="inlineStr">
        <is>
          <t>Projeto Lei</t>
        </is>
      </c>
      <c r="B386" s="4" t="n"/>
      <c r="C386" s="73" t="inlineStr">
        <is>
          <t>2226/2013</t>
        </is>
      </c>
      <c r="D386" s="2" t="inlineStr">
        <is>
          <t>DISPÕE SOBRE A CRIAÇÃO DO PROGRAMA ESTADUAL DE PREVENÇÃO E COMBATE À CISTICERCOSE, A SER IMPLANTADO EM TODAS AS ESCOLAS E CRECHES LOCALIZADAS NO ÂMBITO DO ESTADO DO RIO DE JANEIRO.</t>
        </is>
      </c>
      <c r="E386" s="2" t="inlineStr">
        <is>
          <t>BERNARDO ROSSI</t>
        </is>
      </c>
      <c r="F386" s="18" t="inlineStr">
        <is>
          <t>ZEIDAN</t>
        </is>
      </c>
      <c r="G386" s="10" t="n"/>
      <c r="H386" s="10" t="n"/>
      <c r="I386" s="4" t="n"/>
      <c r="J386" s="17" t="inlineStr">
        <is>
          <t>MUITO TEMPO
ATRÁS</t>
        </is>
      </c>
      <c r="K386" s="9" t="n">
        <v>46168</v>
      </c>
      <c r="L386" s="4" t="n"/>
      <c r="M386" s="4" t="n"/>
      <c r="N386" s="4" t="n"/>
      <c r="O386" s="4" t="n"/>
      <c r="P386" s="4" t="n"/>
      <c r="Q386" s="12" t="inlineStr">
        <is>
          <t>Sim</t>
        </is>
      </c>
      <c r="R386" s="2" t="inlineStr">
        <is>
          <t>Fui ao gabinete em 13/04/2026 e anotei esses projeto parados lá
Retirei do gab. Do relator ANDRÉ CORREA, pois mudou a composição da Com.</t>
        </is>
      </c>
      <c r="S386" s="4" t="n"/>
      <c r="T386" s="4" t="n"/>
      <c r="U386" s="7" t="n"/>
      <c r="V386" s="3" t="inlineStr">
        <is>
          <t>http://alerjln1.alerj.rj.gov.br/scpro1115.nsf/18c1dd68f96be3e7832566ec0018d833/fd8008ca19ae2dff83257b72004efe27?OpenDocument</t>
        </is>
      </c>
      <c r="W386" s="3">
        <f>RIGHT(C386, 4)</f>
        <v/>
      </c>
      <c r="X386" s="3">
        <f>LEFT(C386, LEN(C386) - 5)</f>
        <v/>
      </c>
    </row>
    <row r="387" ht="75" customHeight="1" s="79">
      <c r="A387" s="2" t="inlineStr">
        <is>
          <t>Projeto Lei</t>
        </is>
      </c>
      <c r="B387" s="4" t="n"/>
      <c r="C387" s="73" t="inlineStr">
        <is>
          <t>3898/2021</t>
        </is>
      </c>
      <c r="D387" s="2" t="inlineStr">
        <is>
          <t>DISPÕE SOBRE A CRIAÇÂO DE UMA COPA DE FUTSAL MASCULINA E FEMININA A SER DISPUTADA POR ALUNOS QUE REPRESENTEM AS ESCOLAS ESTADUAIS DO RIO DE JANEIRO</t>
        </is>
      </c>
      <c r="E387" s="2" t="inlineStr">
        <is>
          <t>MARCELO DINO</t>
        </is>
      </c>
      <c r="F387" s="18" t="inlineStr">
        <is>
          <t>CARLOS MACEDO</t>
        </is>
      </c>
      <c r="G387" s="10" t="n"/>
      <c r="H387" s="10" t="n"/>
      <c r="I387" s="4" t="n"/>
      <c r="J387" s="17" t="inlineStr">
        <is>
          <t>MUITO TEMPO
ATRÁS</t>
        </is>
      </c>
      <c r="K387" s="9" t="n">
        <v>46168</v>
      </c>
      <c r="L387" s="4" t="n"/>
      <c r="M387" s="4" t="n"/>
      <c r="N387" s="4" t="n"/>
      <c r="O387" s="4" t="n"/>
      <c r="P387" s="4" t="n"/>
      <c r="Q387" s="12" t="inlineStr">
        <is>
          <t>Sim</t>
        </is>
      </c>
      <c r="R387" s="2" t="inlineStr">
        <is>
          <t>Fui ao gabinete em 13/04/2026 e anotei esses projeto parados lá
Retirei do gab. Do relator ANDRÉ CORREA, pois mudou a composição da Com.</t>
        </is>
      </c>
      <c r="S387" s="4" t="n"/>
      <c r="T387" s="4" t="n"/>
      <c r="U387" s="7" t="n"/>
      <c r="V387" s="3" t="inlineStr">
        <is>
          <t>http://alerjln1.alerj.rj.gov.br/scpro1923.nsf/18c1dd68f96be3e7832566ec0018d833/d0d33c9fbbe258c70325869c005e57a3?OpenDocument</t>
        </is>
      </c>
      <c r="W387" s="3">
        <f>RIGHT(C387, 4)</f>
        <v/>
      </c>
      <c r="X387" s="3">
        <f>LEFT(C387, LEN(C387) - 5)</f>
        <v/>
      </c>
    </row>
    <row r="388" ht="75" customHeight="1" s="79">
      <c r="A388" s="2" t="inlineStr">
        <is>
          <t>Projeto Lei</t>
        </is>
      </c>
      <c r="B388" s="4" t="n"/>
      <c r="C388" s="73" t="inlineStr">
        <is>
          <t>5731/2022</t>
        </is>
      </c>
      <c r="D388" s="2" t="inlineStr">
        <is>
          <t>DISPÕE SOBRE O SALÁRIO BASE DOS PROFISSIONAIS DA SECRETARIA DE ESTADO DE EDUCAÇÃO (SEEDUC) E DE SEU QUADRO DE APOIO.</t>
        </is>
      </c>
      <c r="E388" s="2" t="inlineStr">
        <is>
          <t>SERGIO FERNANDES</t>
        </is>
      </c>
      <c r="F388" s="18" t="inlineStr">
        <is>
          <t>GUSTAVO TUTUCA</t>
        </is>
      </c>
      <c r="G388" s="10" t="n"/>
      <c r="H388" s="10" t="n"/>
      <c r="I388" s="4" t="n"/>
      <c r="J388" s="17" t="inlineStr">
        <is>
          <t>MUITO TEMPO
ATRÁS</t>
        </is>
      </c>
      <c r="K388" s="9" t="n">
        <v>46168</v>
      </c>
      <c r="L388" s="4" t="n"/>
      <c r="M388" s="4" t="n"/>
      <c r="N388" s="4" t="n"/>
      <c r="O388" s="4" t="n"/>
      <c r="P388" s="4" t="n"/>
      <c r="Q388" s="12" t="inlineStr">
        <is>
          <t>Sim</t>
        </is>
      </c>
      <c r="R388" s="2" t="inlineStr">
        <is>
          <t>Fui ao gabinete em 13/04/2026 e anotei esses projeto parados lá
Retirei do gab. Do relator ANDRÉ CORREA, pois mudou a composição da Com.</t>
        </is>
      </c>
      <c r="S388" s="4" t="n"/>
      <c r="T388" s="4" t="n"/>
      <c r="U388" s="7" t="n"/>
      <c r="V388" s="3" t="inlineStr">
        <is>
          <t>http://alerjln1.alerj.rj.gov.br/scpro1923.nsf/18c1dd68f96be3e7832566ec0018d833/919220158275269c03258816006d7fc0?OpenDocument</t>
        </is>
      </c>
      <c r="W388" s="3">
        <f>RIGHT(C388, 4)</f>
        <v/>
      </c>
      <c r="X388" s="3">
        <f>LEFT(C388, LEN(C388) - 5)</f>
        <v/>
      </c>
    </row>
    <row r="389" ht="75" customHeight="1" s="79">
      <c r="A389" s="2" t="inlineStr">
        <is>
          <t>Projeto Lei</t>
        </is>
      </c>
      <c r="B389" s="4" t="n"/>
      <c r="C389" s="73" t="inlineStr">
        <is>
          <t>2553/2023</t>
        </is>
      </c>
      <c r="D389" s="2" t="inlineStr">
        <is>
          <t>CRIA O LIVRO DE HONRA DAS EDUCADORAS E DOS EDUCADORES DO ESTADO DO RIO DE JANEIRO</t>
        </is>
      </c>
      <c r="E389" s="2" t="inlineStr">
        <is>
          <t>ELIKA TAKIMOTO</t>
        </is>
      </c>
      <c r="F389" s="18" t="inlineStr">
        <is>
          <t>BRUNO DAUAIRE</t>
        </is>
      </c>
      <c r="G389" s="10" t="n"/>
      <c r="H389" s="10" t="n"/>
      <c r="I389" s="4" t="n"/>
      <c r="J389" s="17" t="inlineStr">
        <is>
          <t>MUITO TEMPO
ATRÁS</t>
        </is>
      </c>
      <c r="K389" s="9" t="n">
        <v>46168</v>
      </c>
      <c r="L389" s="4" t="n"/>
      <c r="M389" s="4" t="n"/>
      <c r="N389" s="4" t="n"/>
      <c r="O389" s="4" t="n"/>
      <c r="P389" s="4" t="n"/>
      <c r="Q389" s="12" t="inlineStr">
        <is>
          <t>Sim</t>
        </is>
      </c>
      <c r="R389" s="2" t="inlineStr">
        <is>
          <t>Fui ao gabinete em 13/04/2026 e anotei esses projeto parados lá
Retirei do gab. Do relator ANDRÉ CORREA, pois mudou a composição da Com.</t>
        </is>
      </c>
      <c r="S389" s="4" t="n"/>
      <c r="T389" s="4" t="n"/>
      <c r="U389" s="7" t="n"/>
      <c r="V389" s="3" t="inlineStr">
        <is>
          <t>http://alerjln1.alerj.rj.gov.br/scpro2327.nsf/18c1dd68f96be3e7832566ec0018d833/4698fb502c1b7d0a03258a67005fbd71?OpenDocument</t>
        </is>
      </c>
      <c r="W389" s="3">
        <f>RIGHT(C389, 4)</f>
        <v/>
      </c>
      <c r="X389" s="3">
        <f>LEFT(C389, LEN(C389) - 5)</f>
        <v/>
      </c>
    </row>
    <row r="390" ht="75" customHeight="1" s="79">
      <c r="A390" s="2" t="inlineStr">
        <is>
          <t>Projeto Lei</t>
        </is>
      </c>
      <c r="B390" s="4" t="n"/>
      <c r="C390" s="73" t="inlineStr">
        <is>
          <t>1237/2023</t>
        </is>
      </c>
      <c r="D390" s="2" t="inlineStr">
        <is>
          <t>DISPÕE SOBRE A IMPLANTAÇÃO DO PROGRAMA DE PREVENÇÃO E COMBATE A JOGOS QUE INDUZEM CRIANÇAS E ADOLESCENTES A PRÁTICA DE HOMICÍDIOS, AUTOMUTILAÇÃO E AO SUICÍDIO, NO ÂMBITO DO ESTADO DO RIO DE JANEIRO.</t>
        </is>
      </c>
      <c r="E390" s="2" t="inlineStr">
        <is>
          <t>ROSENVERG REIS</t>
        </is>
      </c>
      <c r="F390" s="18" t="inlineStr">
        <is>
          <t>ANDERSON MORAES</t>
        </is>
      </c>
      <c r="G390" s="10" t="n"/>
      <c r="H390" s="10" t="n"/>
      <c r="I390" s="4" t="n"/>
      <c r="J390" s="17" t="inlineStr">
        <is>
          <t>MUITO TEMPO
ATRÁS</t>
        </is>
      </c>
      <c r="K390" s="9" t="n">
        <v>46168</v>
      </c>
      <c r="L390" s="4" t="n"/>
      <c r="M390" s="4" t="n"/>
      <c r="N390" s="4" t="n"/>
      <c r="O390" s="4" t="n"/>
      <c r="P390" s="4" t="n"/>
      <c r="Q390" s="12" t="inlineStr">
        <is>
          <t>Sim</t>
        </is>
      </c>
      <c r="R390" s="2" t="inlineStr">
        <is>
          <t>Fui ao gabinete em 13/04/2026 e anotei esses projeto parados lá
Retirei do gab. Do relator ANDRÉ CORREA, pois mudou a composição da Com.</t>
        </is>
      </c>
      <c r="S390" s="4" t="n"/>
      <c r="T390" s="4" t="n"/>
      <c r="U390" s="7" t="n"/>
      <c r="V390" s="3" t="inlineStr">
        <is>
          <t>http://alerjln1.alerj.rj.gov.br/scpro2327.nsf/18c1dd68f96be3e7832566ec0018d833/e323e5add6ceb07c032589c6005d5c25?OpenDocument</t>
        </is>
      </c>
      <c r="W390" s="3">
        <f>RIGHT(C390, 4)</f>
        <v/>
      </c>
      <c r="X390" s="3">
        <f>LEFT(C390, LEN(C390) - 5)</f>
        <v/>
      </c>
    </row>
    <row r="391" ht="75" customHeight="1" s="79">
      <c r="A391" s="2" t="inlineStr">
        <is>
          <t>Projeto Lei</t>
        </is>
      </c>
      <c r="B391" s="4" t="n"/>
      <c r="C391" s="73" t="inlineStr">
        <is>
          <t>2565/2023</t>
        </is>
      </c>
      <c r="D391" s="2" t="inlineStr">
        <is>
          <t>DISPÕE SOBRE A CRIAÇÃO DO “PROGRAMA YOGA E MEDITAÇÃO NAS ESCOLAS” NA REDE ESTADUAL DE EDUCAÇÃO DO ESTADO DO RIO DE JANEIRO.</t>
        </is>
      </c>
      <c r="E391" s="2" t="inlineStr">
        <is>
          <t>ANDREZINHO CECILIANO</t>
        </is>
      </c>
      <c r="F391" s="18" t="inlineStr">
        <is>
          <t>ZEIDAN</t>
        </is>
      </c>
      <c r="G391" s="10" t="n"/>
      <c r="H391" s="10" t="n"/>
      <c r="I391" s="4" t="n"/>
      <c r="J391" s="17" t="inlineStr">
        <is>
          <t>MUITO TEMPO
ATRÁS</t>
        </is>
      </c>
      <c r="K391" s="9" t="n">
        <v>46168</v>
      </c>
      <c r="L391" s="4" t="n"/>
      <c r="M391" s="4" t="n"/>
      <c r="N391" s="4" t="n"/>
      <c r="O391" s="4" t="n"/>
      <c r="P391" s="4" t="n"/>
      <c r="Q391" s="12" t="inlineStr">
        <is>
          <t>Sim</t>
        </is>
      </c>
      <c r="R391" s="2" t="inlineStr">
        <is>
          <t>Fui ao gabinete em 13/04/2026 e anotei esses projeto parados lá
Retirei do gab. Do relator ANDRÉ CORREA, pois mudou a composição da Com.</t>
        </is>
      </c>
      <c r="S391" s="4" t="n"/>
      <c r="T391" s="4" t="n"/>
      <c r="U391" s="7" t="n"/>
      <c r="V391" s="3" t="inlineStr">
        <is>
          <t>http://alerjln1.alerj.rj.gov.br/scpro2327.nsf/18c1dd68f96be3e7832566ec0018d833/d73a98bc545f9e4d03258a66006f5443?OpenDocument</t>
        </is>
      </c>
      <c r="W391" s="3">
        <f>RIGHT(C391, 4)</f>
        <v/>
      </c>
      <c r="X391" s="3">
        <f>LEFT(C391, LEN(C391) - 5)</f>
        <v/>
      </c>
    </row>
    <row r="392" ht="75" customHeight="1" s="79">
      <c r="A392" s="2" t="inlineStr">
        <is>
          <t>Projeto Lei</t>
        </is>
      </c>
      <c r="B392" s="4" t="n"/>
      <c r="C392" s="73" t="inlineStr">
        <is>
          <t>5439/2022</t>
        </is>
      </c>
      <c r="D392" s="2" t="inlineStr">
        <is>
          <t>AUTORIZA O PODER EXECUTIVO A PROCEDER A  REESTRUTURAÇÃO DAS CARREIRAS DOS SERVIDORES CIVIS DA POLÍCIA MILITAR E DO CORPO DE BOMBEIROS DO ESTADO DO RIO DE JANEIRO</t>
        </is>
      </c>
      <c r="E392" s="2" t="inlineStr">
        <is>
          <t>LUIZ PAULO,LUCINHA</t>
        </is>
      </c>
      <c r="F392" s="18" t="inlineStr">
        <is>
          <t>GUSTAVO TUTUCA</t>
        </is>
      </c>
      <c r="G392" s="10" t="n"/>
      <c r="H392" s="10" t="n"/>
      <c r="I392" s="4" t="n"/>
      <c r="J392" s="17" t="inlineStr">
        <is>
          <t>MUITO TEMPO
ATRÁS</t>
        </is>
      </c>
      <c r="K392" s="9" t="n">
        <v>46168</v>
      </c>
      <c r="L392" s="4" t="n"/>
      <c r="M392" s="4" t="n"/>
      <c r="N392" s="4" t="n"/>
      <c r="O392" s="4" t="n"/>
      <c r="P392" s="4" t="n"/>
      <c r="Q392" s="12" t="inlineStr">
        <is>
          <t>Sim</t>
        </is>
      </c>
      <c r="R392" s="2" t="inlineStr">
        <is>
          <t>Fui ao gabinete em 13/04/2026 e anotei esses projeto parados lá
Retirei do gab. Do relator ANDRÉ CORREA, pois mudou a composição da Com.</t>
        </is>
      </c>
      <c r="S392" s="4" t="n"/>
      <c r="T392" s="4" t="n"/>
      <c r="U392" s="7" t="n"/>
      <c r="V392" s="3" t="inlineStr">
        <is>
          <t>http://alerjln1.alerj.rj.gov.br/scpro1923.nsf/18c1dd68f96be3e7832566ec0018d833/e5c3f8291b0e568a032587ec005d4b9b?OpenDocument</t>
        </is>
      </c>
      <c r="W392" s="3">
        <f>RIGHT(C392, 4)</f>
        <v/>
      </c>
      <c r="X392" s="3">
        <f>LEFT(C392, LEN(C392) - 5)</f>
        <v/>
      </c>
    </row>
    <row r="393" ht="75" customHeight="1" s="79">
      <c r="A393" s="2" t="inlineStr">
        <is>
          <t>Projeto Lei</t>
        </is>
      </c>
      <c r="B393" s="4" t="n"/>
      <c r="C393" s="73" t="inlineStr">
        <is>
          <t>2739/2017</t>
        </is>
      </c>
      <c r="D393" s="2" t="inlineStr">
        <is>
          <t>ALTERA A LEI Nº 5.065, DE 05 DE JULHO DE 2007, PARA INSTITUIR INCENTIVO À RECICLAGEM DO ÓLEO DE COZINHA PARA A PRODUÇÃO DE BIODIESEL, NA FORMA QUE MENCIONA.</t>
        </is>
      </c>
      <c r="E393" s="2" t="inlineStr">
        <is>
          <t>ÁTILA NUNES</t>
        </is>
      </c>
      <c r="F393" s="18" t="inlineStr">
        <is>
          <t>ANDRÉ CORRÊA</t>
        </is>
      </c>
      <c r="G393" s="10" t="n"/>
      <c r="H393" s="10" t="n"/>
      <c r="I393" s="4" t="n"/>
      <c r="J393" s="17" t="inlineStr">
        <is>
          <t>MUITO TEMPO
ATRÁS</t>
        </is>
      </c>
      <c r="K393" s="9" t="n">
        <v>46168</v>
      </c>
      <c r="L393" s="4" t="n"/>
      <c r="M393" s="4" t="n"/>
      <c r="N393" s="4" t="n"/>
      <c r="O393" s="4" t="n"/>
      <c r="P393" s="4" t="n"/>
      <c r="Q393" s="12" t="inlineStr">
        <is>
          <t>Sim</t>
        </is>
      </c>
      <c r="R393" s="2" t="inlineStr">
        <is>
          <t>Fui ao gabinete em 13/04/2026 e anotei esses projeto parados lá
Retirei do gab. Do relator ANDRÉ CORREA, pois mudou a composição da Com.</t>
        </is>
      </c>
      <c r="S393" s="4" t="n"/>
      <c r="T393" s="4" t="n"/>
      <c r="U393" s="7" t="n"/>
      <c r="V393" s="3" t="inlineStr">
        <is>
          <t>http://alerjln1.alerj.rj.gov.br/scpro1519.nsf/18c1dd68f96be3e7832566ec0018d833/76cafe2d0042e55483258114005c0518?OpenDocument</t>
        </is>
      </c>
      <c r="W393" s="3">
        <f>RIGHT(C393, 4)</f>
        <v/>
      </c>
      <c r="X393" s="3">
        <f>LEFT(C393, LEN(C393) - 5)</f>
        <v/>
      </c>
    </row>
    <row r="394" ht="165" customHeight="1" s="79">
      <c r="A394" s="2" t="inlineStr">
        <is>
          <t>Projeto Lei</t>
        </is>
      </c>
      <c r="B394" s="4" t="n"/>
      <c r="C394" s="73" t="inlineStr">
        <is>
          <t>3713/2021</t>
        </is>
      </c>
      <c r="D394" s="2" t="inlineStr">
        <is>
          <t>AUTORIZA OS ÓRGÃOS E ENTIDADES INTEGRANTES DA ADMINISTRAÇÃO PÚBLICA DIRETA E INDIRETA DE QUALQUER DOS PODERES DO ESTADO, BEM COMO O MINISTÉRIO PÚBLICO ESTADUAL, O TRIBUNAL DE CONTAS DO ESTADO E A DEFENSORIA PÚBLICA DO ESTADO, A REALIZAR O DESCONTO NA REMUNERAÇÃO, PROVENTOS E PENSÕES DE SEUS MEMBROS OU SERVIDORES, ATIVOS OU INATIVOS, DO VALOR REFERENTE AO AUXÍLIO EMERGENCIAL RECEBIDO EM DESCONFORMIDADE COM A LEI FEDERAL Nº 13.982, DE 2 DE ABRIL DE 2020.</t>
        </is>
      </c>
      <c r="E394" s="2" t="inlineStr">
        <is>
          <t>RODRIGO BACELLAR</t>
        </is>
      </c>
      <c r="F394" s="18" t="inlineStr">
        <is>
          <t>GUSTAVO TUTUCA</t>
        </is>
      </c>
      <c r="G394" s="10" t="n"/>
      <c r="H394" s="10" t="n"/>
      <c r="I394" s="4" t="n"/>
      <c r="J394" s="17" t="inlineStr">
        <is>
          <t>MUITO TEMPO
ATRÁS</t>
        </is>
      </c>
      <c r="K394" s="4" t="n"/>
      <c r="L394" s="4" t="n"/>
      <c r="M394" s="4" t="n"/>
      <c r="N394" s="4" t="n"/>
      <c r="O394" s="4" t="n"/>
      <c r="P394" s="4" t="n"/>
      <c r="Q394" s="12" t="inlineStr">
        <is>
          <t>Sim</t>
        </is>
      </c>
      <c r="R394" s="2" t="inlineStr">
        <is>
          <t>Fui ao gabinete em 13/04/2026 e anotei esses projeto parados lá
Retirei do gab. Do relator ANDRÉ CORREA, pois mudou a composição da Com.</t>
        </is>
      </c>
      <c r="S394" s="4" t="n"/>
      <c r="T394" s="4" t="n"/>
      <c r="U394" s="7" t="n"/>
      <c r="V394" s="3" t="inlineStr">
        <is>
          <t>http://alerjln1.alerj.rj.gov.br/scpro1923.nsf/18c1dd68f96be3e7832566ec0018d833/0a7e3c3543d688b903258686004f5e05?OpenDocument</t>
        </is>
      </c>
      <c r="W394" s="3">
        <f>RIGHT(C394, 4)</f>
        <v/>
      </c>
      <c r="X394" s="3">
        <f>LEFT(C394, LEN(C394) - 5)</f>
        <v/>
      </c>
    </row>
    <row r="395" ht="135" customHeight="1" s="79">
      <c r="A395" s="2" t="inlineStr">
        <is>
          <t>Projeto Lei</t>
        </is>
      </c>
      <c r="B395" s="4" t="n"/>
      <c r="C395" s="73" t="inlineStr">
        <is>
          <t>148/2019</t>
        </is>
      </c>
      <c r="D395" s="2" t="inlineStr">
        <is>
          <t>DISPÕE SOBRE MEDIDAS NECESSSÁRIAS PARA RESSARCIMENTO DO CONTRIBUINTE QUE EFETUOU O PAGAMENTO DO IPVA (IMPOSTO SOBRE A PROPRIEDADE DE VEÍCULOS AUTOMOTORES), BEM COMO, TAXA DE LICENCIAMENTO ANUAL DE VEÍCULOS PARA EMISSÃO DO CERTIFICADO DE REGISTRO  E LICENCIAMENTO DE VEÍCULO, EM DOBRO OU DE FORMA IRREGULAR E DÁ  OUTRAS PROVIDÊNCIAS.</t>
        </is>
      </c>
      <c r="E395" s="2" t="inlineStr">
        <is>
          <t>CHICO MACHADO</t>
        </is>
      </c>
      <c r="F395" s="18" t="inlineStr">
        <is>
          <t>GUSTAVO TUTUCA</t>
        </is>
      </c>
      <c r="G395" s="10" t="n"/>
      <c r="H395" s="10" t="n"/>
      <c r="I395" s="4" t="n"/>
      <c r="J395" s="17" t="inlineStr">
        <is>
          <t>MUITO TEMPO
ATRÁS</t>
        </is>
      </c>
      <c r="K395" s="9" t="n">
        <v>46168</v>
      </c>
      <c r="L395" s="4" t="n"/>
      <c r="M395" s="4" t="n"/>
      <c r="N395" s="4" t="n"/>
      <c r="O395" s="4" t="n"/>
      <c r="P395" s="4" t="n"/>
      <c r="Q395" s="12" t="inlineStr">
        <is>
          <t>Sim</t>
        </is>
      </c>
      <c r="R395" s="2" t="inlineStr">
        <is>
          <t>Fui ao gabinete em 13/04/2026 e anotei esses projeto parados lá
Retirei do gab. Do relator ANDRÉ CORREA, pois mudou a composição da Com.</t>
        </is>
      </c>
      <c r="S395" s="4" t="n"/>
      <c r="T395" s="4" t="n"/>
      <c r="U395" s="7" t="n"/>
      <c r="V395" s="3" t="inlineStr">
        <is>
          <t>http://alerjln1.alerj.rj.gov.br/scpro1923.nsf/18c1dd68f96be3e7832566ec0018d833/4ae1cb9f13cb16ea832583a80057d23c?OpenDocument</t>
        </is>
      </c>
      <c r="W395" s="3">
        <f>RIGHT(C395, 4)</f>
        <v/>
      </c>
      <c r="X395" s="3">
        <f>LEFT(C395, LEN(C395) - 5)</f>
        <v/>
      </c>
    </row>
    <row r="396" ht="75" customHeight="1" s="79">
      <c r="A396" s="2" t="inlineStr">
        <is>
          <t>Projeto Lei</t>
        </is>
      </c>
      <c r="B396" s="4" t="n"/>
      <c r="C396" s="73" t="inlineStr">
        <is>
          <t>886/2019</t>
        </is>
      </c>
      <c r="D396" s="2" t="inlineStr">
        <is>
          <t>DISPÕE SOBRE A PRÁTICA DE JOGOS ELETRÔNICOS COMO ATIVIDADE ESPORTIVA E CULTURAL.</t>
        </is>
      </c>
      <c r="E396" s="2" t="inlineStr">
        <is>
          <t>MARCELO DO SEU DINO</t>
        </is>
      </c>
      <c r="F396" s="18" t="inlineStr">
        <is>
          <t>CARLOS MACEDO</t>
        </is>
      </c>
      <c r="G396" s="10" t="n"/>
      <c r="H396" s="10" t="n"/>
      <c r="I396" s="4" t="n"/>
      <c r="J396" s="17" t="inlineStr">
        <is>
          <t>MUITO TEMPO
ATRÁS</t>
        </is>
      </c>
      <c r="K396" s="9" t="n">
        <v>46168</v>
      </c>
      <c r="L396" s="4" t="n"/>
      <c r="M396" s="4" t="n"/>
      <c r="N396" s="4" t="n"/>
      <c r="O396" s="4" t="n"/>
      <c r="P396" s="4" t="n"/>
      <c r="Q396" s="12" t="inlineStr">
        <is>
          <t>Sim</t>
        </is>
      </c>
      <c r="R396" s="2" t="inlineStr">
        <is>
          <t>Fui ao gabinete em 13/04/2026 e anotei esses projeto parados lá
Retirei do gab. Do relator ANDRÉ CORREA, pois mudou a composição da Com.</t>
        </is>
      </c>
      <c r="S396" s="4" t="n"/>
      <c r="T396" s="4" t="n"/>
      <c r="U396" s="7" t="n"/>
      <c r="V396" s="3" t="inlineStr">
        <is>
          <t>http://alerjln1.alerj.rj.gov.br/scpro1923.nsf/18c1dd68f96be3e7832566ec0018d833/38cb7074ed76ba488325842c00637448?OpenDocument</t>
        </is>
      </c>
      <c r="W396" s="3">
        <f>RIGHT(C396, 4)</f>
        <v/>
      </c>
      <c r="X396" s="3">
        <f>LEFT(C396, LEN(C396) - 5)</f>
        <v/>
      </c>
    </row>
    <row r="397" ht="75" customHeight="1" s="79">
      <c r="A397" s="2" t="inlineStr">
        <is>
          <t>Projeto Lei</t>
        </is>
      </c>
      <c r="B397" s="4" t="n"/>
      <c r="C397" s="73" t="inlineStr">
        <is>
          <t>3474/2024</t>
        </is>
      </c>
      <c r="D397" s="2" t="inlineStr">
        <is>
          <t>ALTERA-SE A LEI Nº 3350, DE 29 DE DEZEMBRO DE 1999, QUE DISPÕE SOBRE AS CUSTAS JUDICIAIS E EMOLUMENTOS DOS SERVIÇOS NOTARIAIS E DE REGISTROS NO ESTADO DO RIO DE JANEIRO E DÁ OUTRAS PROVIDÊNCIAS.</t>
        </is>
      </c>
      <c r="E397" s="2" t="inlineStr">
        <is>
          <t>CARLA MACHADO</t>
        </is>
      </c>
      <c r="F397" s="18" t="inlineStr">
        <is>
          <t>CARLOS MACEDO</t>
        </is>
      </c>
      <c r="G397" s="10" t="n"/>
      <c r="H397" s="10" t="n"/>
      <c r="I397" s="4" t="n"/>
      <c r="J397" s="17" t="inlineStr">
        <is>
          <t>MUITO TEMPO
ATRÁS</t>
        </is>
      </c>
      <c r="K397" s="9" t="n">
        <v>46168</v>
      </c>
      <c r="L397" s="4" t="n"/>
      <c r="M397" s="4" t="n"/>
      <c r="N397" s="4" t="n"/>
      <c r="O397" s="4" t="n"/>
      <c r="P397" s="4" t="n"/>
      <c r="Q397" s="12" t="inlineStr">
        <is>
          <t>Sim</t>
        </is>
      </c>
      <c r="R397" s="2" t="inlineStr">
        <is>
          <t>Fui ao gabinete em 13/04/2026 e anotei esses projeto parados lá
Retirei do gab. Do relator ANDRÉ CORREA, pois mudou a composição da Com.</t>
        </is>
      </c>
      <c r="S397" s="4" t="n"/>
      <c r="T397" s="4" t="n"/>
      <c r="U397" s="7" t="n"/>
      <c r="V397" s="3" t="inlineStr">
        <is>
          <t>http://alerjln1.alerj.rj.gov.br/scpro2327.nsf/18c1dd68f96be3e7832566ec0018d833/0db4acb886ee2c8903258b0a005ec7f9?OpenDocument</t>
        </is>
      </c>
      <c r="W397" s="3">
        <f>RIGHT(C397, 4)</f>
        <v/>
      </c>
      <c r="X397" s="3">
        <f>LEFT(C397, LEN(C397) - 5)</f>
        <v/>
      </c>
    </row>
    <row r="398" ht="75" customHeight="1" s="79">
      <c r="A398" s="2" t="inlineStr">
        <is>
          <t>Projeto Lei</t>
        </is>
      </c>
      <c r="B398" s="4" t="n"/>
      <c r="C398" s="73" t="inlineStr">
        <is>
          <t>1499/2023</t>
        </is>
      </c>
      <c r="D398" s="2" t="inlineStr">
        <is>
          <t>ALTERA O DECRETO-LEI Nº5, DE 15 DE MARÇO DE 1975, E DÁ OUTRAS PROVIDÊNCIAS.</t>
        </is>
      </c>
      <c r="E398" s="2" t="inlineStr">
        <is>
          <t>ANDERSON MORAES</t>
        </is>
      </c>
      <c r="F398" s="18" t="inlineStr">
        <is>
          <t>CARLOS MACEDO</t>
        </is>
      </c>
      <c r="G398" s="10" t="n"/>
      <c r="H398" s="37" t="n"/>
      <c r="I398" s="14" t="n"/>
      <c r="J398" s="17" t="inlineStr">
        <is>
          <t>MUITO TEMPO
ATRÁS</t>
        </is>
      </c>
      <c r="K398" s="9" t="n">
        <v>46168</v>
      </c>
      <c r="L398" s="9" t="n"/>
      <c r="M398" s="4" t="n"/>
      <c r="N398" s="4" t="n"/>
      <c r="O398" s="4" t="n"/>
      <c r="P398" s="4" t="n"/>
      <c r="Q398" s="4" t="inlineStr">
        <is>
          <t>Sim</t>
        </is>
      </c>
      <c r="R398" s="2" t="inlineStr">
        <is>
          <t>Fui ao gabinete em 13/04/2026 e anotei esses projeto parados lá
Retirei do gab. Do relator ANDRÉ CORREA, pois mudou a composição da Com.</t>
        </is>
      </c>
      <c r="S398" s="4" t="n"/>
      <c r="T398" s="4" t="n"/>
      <c r="U398" s="7" t="n"/>
      <c r="V398" s="3" t="inlineStr">
        <is>
          <t>http://alerjln1.alerj.rj.gov.br/scpro2327.nsf/18c1dd68f96be3e7832566ec0018d833/a64fb64a238658e0032589dc0068fdb0?OpenDocument</t>
        </is>
      </c>
      <c r="W398" s="3">
        <f>RIGHT(C398, 4)</f>
        <v/>
      </c>
      <c r="X398" s="3">
        <f>LEFT(C398, LEN(C398) - 5)</f>
        <v/>
      </c>
    </row>
    <row r="399" ht="75" customHeight="1" s="79">
      <c r="A399" s="2" t="inlineStr">
        <is>
          <t>Projeto Lei</t>
        </is>
      </c>
      <c r="B399" s="4" t="n"/>
      <c r="C399" s="73" t="inlineStr">
        <is>
          <t>4882/2021</t>
        </is>
      </c>
      <c r="D399" s="2" t="inlineStr">
        <is>
          <t>AUTORIZA AO CHEFE DO PODER EXECUTIVO A CRIAR FORMAS SIMPLIFICADAS DE RECOLHIMENTOS DE IMPOSTOS, TAXAS, TRIBUTOS, MULTAS E CONTRIBUIÇÕES DE MELHORIAS ESTATUAIS E OUTRAS NO ÂMBITO DO ESTADO DO RIO DE JANEIRO</t>
        </is>
      </c>
      <c r="E399" s="2" t="inlineStr">
        <is>
          <t>CHICO MACHADO</t>
        </is>
      </c>
      <c r="F399" s="18" t="inlineStr">
        <is>
          <t>CARLOS MACEDO</t>
        </is>
      </c>
      <c r="G399" s="10" t="n"/>
      <c r="H399" s="10" t="n"/>
      <c r="I399" s="4" t="n"/>
      <c r="J399" s="17" t="inlineStr">
        <is>
          <t>MUITO TEMPO
ATRÁS</t>
        </is>
      </c>
      <c r="K399" s="9" t="n">
        <v>46168</v>
      </c>
      <c r="L399" s="4" t="n"/>
      <c r="M399" s="4" t="n"/>
      <c r="N399" s="4" t="n"/>
      <c r="O399" s="4" t="n"/>
      <c r="P399" s="4" t="n"/>
      <c r="Q399" s="12" t="inlineStr">
        <is>
          <t>Sim</t>
        </is>
      </c>
      <c r="R399" s="2" t="inlineStr">
        <is>
          <t>Fui ao gabinete em 13/04/2026 e anotei esses projeto parados lá
Retirei do gab. Do relator ANDRÉ CORREA, pois mudou a composição da Com.</t>
        </is>
      </c>
      <c r="S399" s="4" t="n"/>
      <c r="T399" s="4" t="n"/>
      <c r="U399" s="7" t="n"/>
      <c r="V399" s="3" t="inlineStr">
        <is>
          <t>http://alerjln1.alerj.rj.gov.br/scpro1923.nsf/18c1dd68f96be3e7832566ec0018d833/cdcca2387fa392620325875700552039?OpenDocument</t>
        </is>
      </c>
      <c r="W399" s="3">
        <f>RIGHT(C399, 4)</f>
        <v/>
      </c>
      <c r="X399" s="3">
        <f>LEFT(C399, LEN(C399) - 5)</f>
        <v/>
      </c>
    </row>
    <row r="400" ht="75" customHeight="1" s="79">
      <c r="A400" s="2" t="inlineStr">
        <is>
          <t>Projeto Lei</t>
        </is>
      </c>
      <c r="B400" s="4" t="n"/>
      <c r="C400" s="73" t="inlineStr">
        <is>
          <t>238/2015</t>
        </is>
      </c>
      <c r="D400" s="2" t="inlineStr">
        <is>
          <t>ESTABELECE A POLÍTICA ESTADUAL DE MOBILIDADE URBANA E REGIONAL, INSTITUI O SISTEMA ESTADUAL DE TRANSPORTE PÚBLICO E MOBILIDADE E DÁ OUTRAS PROVIDÊNCIAS.</t>
        </is>
      </c>
      <c r="E400" s="2" t="inlineStr">
        <is>
          <t>ELIOMAR COELHO</t>
        </is>
      </c>
      <c r="F400" s="18" t="inlineStr">
        <is>
          <t>CARLOS MACEDO</t>
        </is>
      </c>
      <c r="G400" s="10" t="n"/>
      <c r="H400" s="10" t="n"/>
      <c r="I400" s="4" t="n"/>
      <c r="J400" s="17" t="inlineStr">
        <is>
          <t>MUITO TEMPO
ATRÁS</t>
        </is>
      </c>
      <c r="K400" s="9" t="n">
        <v>46168</v>
      </c>
      <c r="L400" s="4" t="n"/>
      <c r="M400" s="4" t="n"/>
      <c r="N400" s="4" t="n"/>
      <c r="O400" s="4" t="n"/>
      <c r="P400" s="4" t="n"/>
      <c r="Q400" s="12" t="inlineStr">
        <is>
          <t>Sim</t>
        </is>
      </c>
      <c r="R400" s="2" t="inlineStr">
        <is>
          <t>Fui ao gabinete em 13/04/2026 e anotei esses projeto parados lá
Retirei do gab. Do relator ANDRÉ CORREA, pois mudou a composição da Com.</t>
        </is>
      </c>
      <c r="S400" s="4" t="n"/>
      <c r="T400" s="4" t="n"/>
      <c r="U400" s="7" t="n"/>
      <c r="V400" s="3" t="inlineStr">
        <is>
          <t>http://alerjln1.alerj.rj.gov.br/scpro1519.nsf/18c1dd68f96be3e7832566ec0018d833/92cbcc0c4555587383257e19005331c3?OpenDocument</t>
        </is>
      </c>
      <c r="W400" s="3">
        <f>RIGHT(C400, 4)</f>
        <v/>
      </c>
      <c r="X400" s="3">
        <f>LEFT(C400, LEN(C400) - 5)</f>
        <v/>
      </c>
    </row>
    <row r="401" ht="75" customHeight="1" s="79">
      <c r="A401" s="2" t="inlineStr">
        <is>
          <t>Projeto Lei</t>
        </is>
      </c>
      <c r="B401" s="4" t="n"/>
      <c r="C401" s="73" t="inlineStr">
        <is>
          <t>3189/2020</t>
        </is>
      </c>
      <c r="D401" s="2" t="inlineStr">
        <is>
          <t>INSTITUI A CÂMARA DE CONCILIAÇÃO DE PRECATÓRIOS PREVISTA NO ART. 97, §8º, INCISO III, DO ATO DAS DISPOSIÇÕES CONSTITUCIONAIS TRANSITÓRIAS – ADCT DA CONSTITUIÇÃO FEDERAL.</t>
        </is>
      </c>
      <c r="E401" s="2" t="inlineStr">
        <is>
          <t>RODRIGO BACELLAR</t>
        </is>
      </c>
      <c r="F401" s="18" t="inlineStr">
        <is>
          <t>CARLOS MACEDO</t>
        </is>
      </c>
      <c r="G401" s="10" t="n"/>
      <c r="H401" s="10" t="n"/>
      <c r="I401" s="4" t="n"/>
      <c r="J401" s="17" t="inlineStr">
        <is>
          <t>MUITO TEMPO
ATRÁS</t>
        </is>
      </c>
      <c r="K401" s="9" t="n">
        <v>46168</v>
      </c>
      <c r="L401" s="4" t="n"/>
      <c r="M401" s="4" t="n"/>
      <c r="N401" s="4" t="n"/>
      <c r="O401" s="4" t="n"/>
      <c r="P401" s="4" t="n"/>
      <c r="Q401" s="12" t="inlineStr">
        <is>
          <t>Sim</t>
        </is>
      </c>
      <c r="R401" s="2" t="inlineStr">
        <is>
          <t>Fui ao gabinete em 13/04/2026 e anotei esses projeto parados lá
Retirei do gab. Do relator ANDRÉ CORREA, pois mudou a composição da Com.</t>
        </is>
      </c>
      <c r="S401" s="4" t="n"/>
      <c r="T401" s="4" t="n"/>
      <c r="U401" s="7" t="n"/>
      <c r="V401" s="3" t="inlineStr">
        <is>
          <t>http://alerjln1.alerj.rj.gov.br/scpro1923.nsf/18c1dd68f96be3e7832566ec0018d833/6238bf1620c9fd71032585fa005c4b27?OpenDocument</t>
        </is>
      </c>
      <c r="W401" s="3">
        <f>RIGHT(C401, 4)</f>
        <v/>
      </c>
      <c r="X401" s="3">
        <f>LEFT(C401, LEN(C401) - 5)</f>
        <v/>
      </c>
    </row>
    <row r="402" ht="75" customHeight="1" s="79">
      <c r="A402" s="2" t="inlineStr">
        <is>
          <t>Projeto Lei</t>
        </is>
      </c>
      <c r="B402" s="4" t="n"/>
      <c r="C402" s="73" t="inlineStr">
        <is>
          <t>448/2023</t>
        </is>
      </c>
      <c r="D402" s="2" t="inlineStr">
        <is>
          <t>DISPÕE SOBRE A PRIORIZAÇÃO DE TRANSFERÊNCIA DE ALUNOS MATRICULADOS NAS ESCOLAS DA REDE ESTADUAL DE ENSINO, EM RAZÃO DE INCAPACIDADE TEMPORÁRIA OU DEFINITIVA DAS UNIDADES ESTADUAIS.</t>
        </is>
      </c>
      <c r="E402" s="2" t="inlineStr">
        <is>
          <t>SERGIO FERNANDES</t>
        </is>
      </c>
      <c r="F402" s="18" t="inlineStr">
        <is>
          <t>ANDERSON MORAES</t>
        </is>
      </c>
      <c r="G402" s="10" t="n"/>
      <c r="H402" s="10" t="n"/>
      <c r="I402" s="4" t="n"/>
      <c r="J402" s="17" t="inlineStr">
        <is>
          <t>MUITO TEMPO
ATRÁS</t>
        </is>
      </c>
      <c r="K402" s="9" t="n">
        <v>46168</v>
      </c>
      <c r="L402" s="4" t="n"/>
      <c r="M402" s="4" t="n"/>
      <c r="N402" s="4" t="n"/>
      <c r="O402" s="4" t="n"/>
      <c r="P402" s="4" t="n"/>
      <c r="Q402" s="12" t="inlineStr">
        <is>
          <t>Sim</t>
        </is>
      </c>
      <c r="R402" s="2" t="inlineStr">
        <is>
          <t>Fui ao gabinete em 13/04/2026 e anotei esses projeto parados lá
Retirei do gab. Do relator ANDRÉ CORREA, pois mudou a composição da Com.</t>
        </is>
      </c>
      <c r="S402" s="4" t="n"/>
      <c r="T402" s="4" t="n"/>
      <c r="U402" s="7" t="n"/>
      <c r="V402" s="3" t="inlineStr">
        <is>
          <t>http://alerjln1.alerj.rj.gov.br/scpro2327.nsf/18c1dd68f96be3e7832566ec0018d833/d2bd6649a580229d0325897300693449?OpenDocument</t>
        </is>
      </c>
      <c r="W402" s="3">
        <f>RIGHT(C402, 4)</f>
        <v/>
      </c>
      <c r="X402" s="3">
        <f>LEFT(C402, LEN(C402) - 5)</f>
        <v/>
      </c>
    </row>
    <row r="403" ht="75" customHeight="1" s="79">
      <c r="A403" s="2" t="inlineStr">
        <is>
          <t>Projeto Lei</t>
        </is>
      </c>
      <c r="B403" s="4" t="n"/>
      <c r="C403" s="73" t="inlineStr">
        <is>
          <t>423/2023</t>
        </is>
      </c>
      <c r="D403" s="2" t="inlineStr">
        <is>
          <t>DISPÕE SOBRE A CRIAÇÃO DO PROGRAMA DE GEORREFERÊNCIAMENTO PARA O MONITORAMENTO DAS CONSTRUÇÕES EM ÁREAS DE RISCO NO ÂMBITO DO ESTADO DO RIO DE JANEIRO E DÁ OUTRAS PROVIDÊNCIAS.</t>
        </is>
      </c>
      <c r="E403" s="2" t="inlineStr">
        <is>
          <t>BERNARDO ROSSI</t>
        </is>
      </c>
      <c r="F403" s="18" t="inlineStr">
        <is>
          <t>ANDRÉ CORRÊA</t>
        </is>
      </c>
      <c r="G403" s="10" t="n"/>
      <c r="H403" s="10" t="n"/>
      <c r="I403" s="4" t="n"/>
      <c r="J403" s="17" t="inlineStr">
        <is>
          <t>MUITO TEMPO
ATRÁS</t>
        </is>
      </c>
      <c r="K403" s="9" t="n">
        <v>46168</v>
      </c>
      <c r="L403" s="4" t="n"/>
      <c r="M403" s="4" t="n"/>
      <c r="N403" s="4" t="n"/>
      <c r="O403" s="4" t="n"/>
      <c r="P403" s="4" t="n"/>
      <c r="Q403" s="12" t="inlineStr">
        <is>
          <t>Sim</t>
        </is>
      </c>
      <c r="R403" s="2" t="inlineStr">
        <is>
          <t>Fui ao gabinete em 13/04/2026 e anotei esses projeto parados lá
Retirei do gab. Do relator ANDRÉ CORREA, pois mudou a composição da Com.</t>
        </is>
      </c>
      <c r="S403" s="4" t="n"/>
      <c r="T403" s="4" t="n"/>
      <c r="U403" s="7" t="n"/>
      <c r="V403" s="3" t="inlineStr">
        <is>
          <t>http://alerjln1.alerj.rj.gov.br/scpro2327.nsf/18c1dd68f96be3e7832566ec0018d833/a3ca7663ff7912d10325897000686e09?OpenDocument</t>
        </is>
      </c>
      <c r="W403" s="3">
        <f>RIGHT(C403, 4)</f>
        <v/>
      </c>
      <c r="X403" s="3">
        <f>LEFT(C403, LEN(C403) - 5)</f>
        <v/>
      </c>
    </row>
    <row r="404" ht="75" customHeight="1" s="79">
      <c r="A404" s="2" t="inlineStr">
        <is>
          <t>Projeto Lei</t>
        </is>
      </c>
      <c r="B404" s="4" t="n"/>
      <c r="C404" s="73" t="inlineStr">
        <is>
          <t>19/2023</t>
        </is>
      </c>
      <c r="D404" s="2" t="inlineStr">
        <is>
          <t>DISPÕE SOBRE A MATRÍCULA DE FILHOS E/OU DEPENDENTES LEGAIS DE AGENTES DE SEGURANÇA PÚBLICA EM ESTABELECIMENTOS DA REDE PÚBLICA ESTADUAL DE ENSINO.</t>
        </is>
      </c>
      <c r="E404" s="2" t="inlineStr">
        <is>
          <t>ALAN LOPES</t>
        </is>
      </c>
      <c r="F404" s="18" t="inlineStr">
        <is>
          <t>ANDERSON MORAES</t>
        </is>
      </c>
      <c r="G404" s="10" t="n"/>
      <c r="H404" s="10" t="n"/>
      <c r="I404" s="4" t="n"/>
      <c r="J404" s="17" t="inlineStr">
        <is>
          <t>MUITO TEMPO
ATRÁS</t>
        </is>
      </c>
      <c r="K404" s="9" t="n">
        <v>46168</v>
      </c>
      <c r="L404" s="4" t="n"/>
      <c r="M404" s="4" t="n"/>
      <c r="N404" s="4" t="n"/>
      <c r="O404" s="4" t="n"/>
      <c r="P404" s="4" t="n"/>
      <c r="Q404" s="12" t="inlineStr">
        <is>
          <t>Sim</t>
        </is>
      </c>
      <c r="R404" s="2" t="inlineStr">
        <is>
          <t>Fui ao gabinete em 13/04/2026 e anotei esses projeto parados lá
Retirei do gab. Do relator ANDRÉ CORREA, pois mudou a composição da Com.</t>
        </is>
      </c>
      <c r="S404" s="4" t="n"/>
      <c r="T404" s="4" t="n"/>
      <c r="U404" s="7" t="n"/>
      <c r="V404" s="3" t="inlineStr">
        <is>
          <t>http://alerjln1.alerj.rj.gov.br/scpro2327.nsf/18c1dd68f96be3e7832566ec0018d833/412866a18e9758930325894a00522811?OpenDocument</t>
        </is>
      </c>
      <c r="W404" s="3">
        <f>RIGHT(C404, 4)</f>
        <v/>
      </c>
      <c r="X404" s="3">
        <f>LEFT(C404, LEN(C404) - 5)</f>
        <v/>
      </c>
    </row>
    <row r="405" ht="75" customHeight="1" s="79">
      <c r="A405" s="2" t="inlineStr">
        <is>
          <t>Projeto Lei</t>
        </is>
      </c>
      <c r="B405" s="4" t="n"/>
      <c r="C405" s="73" t="inlineStr">
        <is>
          <t>6024/2022</t>
        </is>
      </c>
      <c r="D405" s="2" t="inlineStr">
        <is>
          <t>DISPÕE SOBRE A INSTALAÇÃO DE SISTEMA DE ALTO-FALANTE E MICROFONE PARA COMUNICAÇÃO NAS VIATURAS DAS POLÍCIAS MILITAR, CIVIL, PENAL E BOMBEIROS MILITARES.</t>
        </is>
      </c>
      <c r="E405" s="2" t="inlineStr">
        <is>
          <t>MARCELO DO SEU DINO</t>
        </is>
      </c>
      <c r="F405" s="18" t="inlineStr">
        <is>
          <t>ANDERSON MORAES</t>
        </is>
      </c>
      <c r="G405" s="10" t="n"/>
      <c r="H405" s="10" t="n"/>
      <c r="I405" s="4" t="n"/>
      <c r="J405" s="17" t="inlineStr">
        <is>
          <t>MUITO TEMPO
ATRÁS</t>
        </is>
      </c>
      <c r="K405" s="9" t="n">
        <v>46168</v>
      </c>
      <c r="L405" s="4" t="n"/>
      <c r="M405" s="4" t="n"/>
      <c r="N405" s="4" t="n"/>
      <c r="O405" s="4" t="n"/>
      <c r="P405" s="4" t="n"/>
      <c r="Q405" s="12" t="inlineStr">
        <is>
          <t>Sim</t>
        </is>
      </c>
      <c r="R405" s="2" t="inlineStr">
        <is>
          <t>Fui ao gabinete em 13/04/2026 e anotei esses projeto parados lá
Retirei do gab. Do relator ANDRÉ CORREA, pois mudou a composição da Com.</t>
        </is>
      </c>
      <c r="S405" s="4" t="n"/>
      <c r="T405" s="4" t="n"/>
      <c r="U405" s="7" t="n"/>
      <c r="V405" s="3" t="inlineStr">
        <is>
          <t>http://alerjln1.alerj.rj.gov.br/scpro1923.nsf/18c1dd68f96be3e7832566ec0018d833/6649ef365c0a19bd032588520076e100?OpenDocument</t>
        </is>
      </c>
      <c r="W405" s="3">
        <f>RIGHT(C405, 4)</f>
        <v/>
      </c>
      <c r="X405" s="3">
        <f>LEFT(C405, LEN(C405) - 5)</f>
        <v/>
      </c>
    </row>
    <row r="406" ht="90" customHeight="1" s="79">
      <c r="A406" s="2" t="inlineStr">
        <is>
          <t>Projeto Lei</t>
        </is>
      </c>
      <c r="B406" s="4" t="n"/>
      <c r="C406" s="73" t="inlineStr">
        <is>
          <t>1787/2023</t>
        </is>
      </c>
      <c r="D406" s="2" t="inlineStr">
        <is>
          <t>DISPÕE SOBRE A IMPLANTAÇÃO DO SISTEMA DE ENERGIA SOLAR FOTOVOLTAICA NOS ESTABELECIMENTOS EM QUE ESTEJAM EM FUNCIONAMENTO OS ÓRGÃOS DA SEGURANÇA PÚBLICA, NO ÂMBITO DO ESTADO DO RIO DE JANEIRO, NA FORMA EM QUE MENCIONA.</t>
        </is>
      </c>
      <c r="E406" s="2" t="inlineStr">
        <is>
          <t>ROSENVERG REIS</t>
        </is>
      </c>
      <c r="F406" s="18" t="inlineStr">
        <is>
          <t>ANDERSON MORAES</t>
        </is>
      </c>
      <c r="G406" s="10" t="n"/>
      <c r="H406" s="10" t="n"/>
      <c r="I406" s="4" t="n"/>
      <c r="J406" s="17" t="inlineStr">
        <is>
          <t>MUITO TEMPO
ATRÁS</t>
        </is>
      </c>
      <c r="K406" s="9" t="n">
        <v>46168</v>
      </c>
      <c r="L406" s="4" t="n"/>
      <c r="M406" s="4" t="n"/>
      <c r="N406" s="4" t="n"/>
      <c r="O406" s="4" t="n"/>
      <c r="P406" s="4" t="n"/>
      <c r="Q406" s="12" t="inlineStr">
        <is>
          <t>Sim</t>
        </is>
      </c>
      <c r="R406" s="2" t="inlineStr">
        <is>
          <t>Fui ao gabinete em 13/04/2026 e anotei esses projeto parados lá
Retirei do gab. Do relator ANDRÉ CORREA, pois mudou a composição da Com.</t>
        </is>
      </c>
      <c r="S406" s="4" t="n"/>
      <c r="T406" s="4" t="n"/>
      <c r="U406" s="7" t="n"/>
      <c r="V406" s="3" t="inlineStr">
        <is>
          <t>http://alerjln1.alerj.rj.gov.br/scpro2327.nsf/18c1dd68f96be3e7832566ec0018d833/18d7a30bea839ed503258a0e0061d9f6?OpenDocument</t>
        </is>
      </c>
      <c r="W406" s="3">
        <f>RIGHT(C406, 4)</f>
        <v/>
      </c>
      <c r="X406" s="3">
        <f>LEFT(C406, LEN(C406) - 5)</f>
        <v/>
      </c>
    </row>
    <row r="407" ht="75" customHeight="1" s="79">
      <c r="A407" s="2" t="inlineStr">
        <is>
          <t>Projeto Lei</t>
        </is>
      </c>
      <c r="B407" s="4" t="n"/>
      <c r="C407" s="73" t="inlineStr">
        <is>
          <t>1171/2023</t>
        </is>
      </c>
      <c r="D407" s="2" t="inlineStr">
        <is>
          <t>TORNA OBRIGATÓRIA A DIVULGAÇÃO DE ALERTA EM EVENTOS ESPORTIVOS E ARTÍSTICOS NO ÂMBITO DO ESTADO DO RIO DE JANEIRO SOBRE OS CRIMES DE DISCRIMINAÇÃO OU PRECONCEITO DE RAÇA, COR, ETNIA, RELIGIÃO OU PROCEDÊNCIA NACIONAL.</t>
        </is>
      </c>
      <c r="E407" s="2" t="inlineStr">
        <is>
          <t>DOUGLAS RUAS</t>
        </is>
      </c>
      <c r="F407" s="18" t="inlineStr">
        <is>
          <t>GUSTAVO TUTUCA</t>
        </is>
      </c>
      <c r="G407" s="10" t="n"/>
      <c r="H407" s="10" t="n"/>
      <c r="I407" s="4" t="n"/>
      <c r="J407" s="17" t="inlineStr">
        <is>
          <t>MUITO TEMPO
ATRÁS</t>
        </is>
      </c>
      <c r="K407" s="9" t="n">
        <v>46168</v>
      </c>
      <c r="L407" s="4" t="n"/>
      <c r="M407" s="4" t="n"/>
      <c r="N407" s="4" t="n"/>
      <c r="O407" s="4" t="n"/>
      <c r="P407" s="4" t="n"/>
      <c r="Q407" s="12" t="inlineStr">
        <is>
          <t>Sim</t>
        </is>
      </c>
      <c r="R407" s="2" t="inlineStr">
        <is>
          <t>Fui ao gabinete em 13/04/2026 e anotei esses projeto parados lá
Retirei do gab. Do relator ANDRÉ CORREA, pois mudou a composição da Com.</t>
        </is>
      </c>
      <c r="S407" s="4" t="n"/>
      <c r="T407" s="4" t="n"/>
      <c r="U407" s="7" t="n"/>
      <c r="V407" s="3" t="inlineStr">
        <is>
          <t>http://alerjln1.alerj.rj.gov.br/scpro2327.nsf/18c1dd68f96be3e7832566ec0018d833/0403a811b0387d47032589bf0057c049?OpenDocument</t>
        </is>
      </c>
      <c r="W407" s="3">
        <f>RIGHT(C407, 4)</f>
        <v/>
      </c>
      <c r="X407" s="3">
        <f>LEFT(C407, LEN(C407) - 5)</f>
        <v/>
      </c>
    </row>
    <row r="408" ht="75" customHeight="1" s="79">
      <c r="A408" s="2" t="inlineStr">
        <is>
          <t>Projeto Lei</t>
        </is>
      </c>
      <c r="B408" s="4" t="n"/>
      <c r="C408" s="73" t="inlineStr">
        <is>
          <t>924/2023</t>
        </is>
      </c>
      <c r="D408" s="2" t="inlineStr">
        <is>
          <t>ESTABELECE MEDIDAS DE SEGURANÇA AO ACESSO DE VISITANTES AS UNIDADES ESCOLARES PÚBLICAS DO ESTADO DO RIO DE JANEIRO</t>
        </is>
      </c>
      <c r="E408" s="2" t="inlineStr">
        <is>
          <t>ANDERSON MORAES</t>
        </is>
      </c>
      <c r="F408" s="18" t="inlineStr">
        <is>
          <t>ZEIDAN</t>
        </is>
      </c>
      <c r="G408" s="10" t="n"/>
      <c r="H408" s="10" t="n"/>
      <c r="I408" s="4" t="n"/>
      <c r="J408" s="17" t="inlineStr">
        <is>
          <t>MUITO TEMPO
ATRÁS</t>
        </is>
      </c>
      <c r="K408" s="9" t="n">
        <v>46168</v>
      </c>
      <c r="L408" s="4" t="n"/>
      <c r="M408" s="4" t="n"/>
      <c r="N408" s="4" t="n"/>
      <c r="O408" s="4" t="n"/>
      <c r="P408" s="4" t="n"/>
      <c r="Q408" s="12" t="inlineStr">
        <is>
          <t>Sim</t>
        </is>
      </c>
      <c r="R408" s="2" t="inlineStr">
        <is>
          <t>Fui ao gabinete em 13/04/2026 e anotei esses projeto parados lá
Retirei do gab. Do relator ANDRÉ CORREA, pois mudou a composição da Com.</t>
        </is>
      </c>
      <c r="S408" s="4" t="n"/>
      <c r="T408" s="4" t="n"/>
      <c r="U408" s="7" t="n"/>
      <c r="V408" s="3" t="inlineStr">
        <is>
          <t>http://alerjln1.alerj.rj.gov.br/scpro2327.nsf/18c1dd68f96be3e7832566ec0018d833/87218c54344a0d24032589a4005c44b3?OpenDocument</t>
        </is>
      </c>
      <c r="W408" s="3">
        <f>RIGHT(C408, 4)</f>
        <v/>
      </c>
      <c r="X408" s="3">
        <f>LEFT(C408, LEN(C408) - 5)</f>
        <v/>
      </c>
    </row>
    <row r="409" ht="75" customHeight="1" s="79">
      <c r="A409" s="2" t="inlineStr">
        <is>
          <t>Projeto Lei</t>
        </is>
      </c>
      <c r="B409" s="4" t="n"/>
      <c r="C409" s="73" t="inlineStr">
        <is>
          <t>EP 3674/2017</t>
        </is>
      </c>
      <c r="D409" s="2" t="inlineStr">
        <is>
          <t>ALTERA A LEI Nº 5.196, DE 05 DE MARÇO DE 2008, PARA ACRESCENTAR DIRETRIZES A SEREM EXECUTADAS PELO PROGRAMA DE COMBATE À OBESIDADE DO ESTUDANTE DAS REDES PÚBLICA E PRIVADA DE ENSINO, NA FORMA QUE MENCIONA.</t>
        </is>
      </c>
      <c r="E409" s="2" t="inlineStr">
        <is>
          <t>ÁTILA NUNES</t>
        </is>
      </c>
      <c r="F409" s="18" t="inlineStr">
        <is>
          <t>ZEIDAN</t>
        </is>
      </c>
      <c r="G409" s="10" t="n"/>
      <c r="H409" s="10" t="n"/>
      <c r="I409" s="4" t="n"/>
      <c r="J409" s="17" t="inlineStr">
        <is>
          <t>MUITO TEMPO
ATRÁS</t>
        </is>
      </c>
      <c r="K409" s="9" t="n">
        <v>46168</v>
      </c>
      <c r="L409" s="4" t="n"/>
      <c r="M409" s="4" t="n"/>
      <c r="N409" s="4" t="n"/>
      <c r="O409" s="4" t="n"/>
      <c r="P409" s="4" t="n"/>
      <c r="Q409" s="12" t="inlineStr">
        <is>
          <t>Sim</t>
        </is>
      </c>
      <c r="R409" s="2" t="inlineStr">
        <is>
          <t>Fui ao gabinete em 13/04/2026 e anotei esses projeto parados lá
Retirei do gab. Do relator ANDRÉ CORREA, pois mudou a composição da Com.</t>
        </is>
      </c>
      <c r="S409" s="4" t="n"/>
      <c r="T409" s="4" t="n"/>
      <c r="U409" s="7" t="n"/>
      <c r="V409" s="3" t="inlineStr">
        <is>
          <t>http://alerjln1.alerj.rj.gov.br/scpro1519.nsf/18c1dd68f96be3e7832566ec0018d833/de8a19f8cd9c3f88832581e800566296?OpenDocument</t>
        </is>
      </c>
      <c r="W409" s="3">
        <f>RIGHT(C409, 4)</f>
        <v/>
      </c>
      <c r="X409" s="3">
        <f>LEFT(C409, LEN(C409) - 5)</f>
        <v/>
      </c>
    </row>
    <row r="410" ht="90" customHeight="1" s="79">
      <c r="A410" s="2" t="inlineStr">
        <is>
          <t>Projeto Lei</t>
        </is>
      </c>
      <c r="B410" s="4" t="n"/>
      <c r="C410" s="73" t="inlineStr">
        <is>
          <t>5758/2022</t>
        </is>
      </c>
      <c r="D410" s="2" t="inlineStr">
        <is>
          <t>DISPÕE SOBRE A CRIAÇÃO DO PORTAL TEA PARA A PROMOÇÃO E A EFETIVAÇÃO DOS DIREITOS DA PESSOA COM TRANSTORNO DO ESPECTRO AUTISTA.</t>
        </is>
      </c>
      <c r="E410" s="2" t="inlineStr">
        <is>
          <t>ALANA PASSOS, Samuel Malafaia</t>
        </is>
      </c>
      <c r="F410" s="18" t="n"/>
      <c r="G410" s="10" t="n"/>
      <c r="H410" s="10" t="n"/>
      <c r="I410" s="4" t="inlineStr">
        <is>
          <t>PLENÁRIO</t>
        </is>
      </c>
      <c r="J410" s="17" t="inlineStr">
        <is>
          <t>MUITO TEMPO
ATRÁS</t>
        </is>
      </c>
      <c r="K410" s="4" t="n"/>
      <c r="L410" s="4" t="n"/>
      <c r="M410" s="9" t="n">
        <v>46160</v>
      </c>
      <c r="N410" s="4" t="n"/>
      <c r="O410" s="4" t="n"/>
      <c r="P410" s="4" t="n"/>
      <c r="Q410" s="12" t="inlineStr">
        <is>
          <t>Não</t>
        </is>
      </c>
      <c r="R410" s="2" t="inlineStr">
        <is>
          <t>Fui ao gabinete em 13/04/2026 e anotei esses projeto parados lá
Retirei do gab. Do relator ANDRÉ CORREA, pois mudou a composição da Com.
** Retirado em 18/05 para ir a plenário</t>
        </is>
      </c>
      <c r="S410" s="4" t="n"/>
      <c r="T410" s="4" t="n"/>
      <c r="U410" s="7" t="n"/>
      <c r="V410" s="3" t="inlineStr">
        <is>
          <t>http://alerjln1.alerj.rj.gov.br/scpro1923.nsf/18c1dd68f96be3e7832566ec0018d833/6c446c3c7a1e66f30325881b0073335a?OpenDocument</t>
        </is>
      </c>
      <c r="W410" s="3">
        <f>RIGHT(C410, 4)</f>
        <v/>
      </c>
      <c r="X410" s="3">
        <f>LEFT(C410, LEN(C410) - 5)</f>
        <v/>
      </c>
    </row>
    <row r="411" ht="75" customHeight="1" s="79">
      <c r="A411" s="2" t="inlineStr">
        <is>
          <t>Projeto Lei</t>
        </is>
      </c>
      <c r="B411" s="4" t="n"/>
      <c r="C411" s="73" t="inlineStr">
        <is>
          <t>2139/2020</t>
        </is>
      </c>
      <c r="D411" s="2" t="inlineStr">
        <is>
          <t>MODIFICA A LEI N° 6.041/2011 PARA AMPLIAR A POSSIBILIDADE DE TRANSFERÊNCIA VOLUNTÁRIA DE RECURSOS DO FUNDO ESPECIAL DA ASSEMBLEIA LEGISLATIVA DO ESTADO DO RIO DE JANEIRO PARA OUTROS ENTES DA FEDERAÇÃO.</t>
        </is>
      </c>
      <c r="E411" s="2" t="inlineStr">
        <is>
          <t>FLÁVIO SERAFINI,RENATA SOUZA,MÔNICA FRANCISCO,DANI MONTEIRO</t>
        </is>
      </c>
      <c r="F411" s="18" t="inlineStr">
        <is>
          <t>GUSTAVO TUTUCA</t>
        </is>
      </c>
      <c r="G411" s="10" t="n"/>
      <c r="H411" s="10" t="n"/>
      <c r="I411" s="4" t="n"/>
      <c r="J411" s="17" t="inlineStr">
        <is>
          <t>MUITO TEMPO
ATRÁS</t>
        </is>
      </c>
      <c r="K411" s="9" t="n">
        <v>46168</v>
      </c>
      <c r="L411" s="4" t="n"/>
      <c r="M411" s="4" t="n"/>
      <c r="N411" s="4" t="n"/>
      <c r="O411" s="4" t="n"/>
      <c r="P411" s="4" t="n"/>
      <c r="Q411" s="12" t="inlineStr">
        <is>
          <t>Sim</t>
        </is>
      </c>
      <c r="R411" s="2" t="inlineStr">
        <is>
          <t>Fui ao gabinete em 13/04/2026 e anotei esses projeto parados lá
Retirei do gab. Do relator ANDRÉ CORREA, pois mudou a composição da Com.</t>
        </is>
      </c>
      <c r="S411" s="4" t="n"/>
      <c r="T411" s="4" t="n"/>
      <c r="U411" s="7" t="n"/>
      <c r="V411" s="3" t="inlineStr">
        <is>
          <t>http://alerjln1.alerj.rj.gov.br/scpro1923.nsf/18c1dd68f96be3e7832566ec0018d833/525a1553525813100325853500557e21?OpenDocument</t>
        </is>
      </c>
      <c r="W411" s="3">
        <f>RIGHT(C411, 4)</f>
        <v/>
      </c>
      <c r="X411" s="3">
        <f>LEFT(C411, LEN(C411) - 5)</f>
        <v/>
      </c>
    </row>
    <row r="412" ht="165" customHeight="1" s="79">
      <c r="A412" s="2" t="inlineStr">
        <is>
          <t>Projeto Lei</t>
        </is>
      </c>
      <c r="B412" s="4" t="n"/>
      <c r="C412" s="73" t="inlineStr">
        <is>
          <t>213/2023</t>
        </is>
      </c>
      <c r="D412" s="2" t="inlineStr">
        <is>
          <t>FICA INSTITUÍDO O PROGRAMA COZINHA SOLIDÁRIA, QUE DISPÕE SOBRE A DISTRIBUIÇÃO DE ALIMENTAÇÃO GRATUITA PREFERENCIALMENTE À POPULAÇÃO EM SITUAÇÃO DE VULNERABILIDADE E RISCO SOCIAL, INCLUINDO A POPULAÇÃO EM SITUAÇÃO DE RUA, VISANDO A PROMOÇÃO DE POLÍTICAS DE SEGURANÇA ALIMENTAR E NUTRICIONAL, DE ASSISTÊNCIA SOCIAL, EFETIVAÇÃO DE DIREITOS SOCIAIS, DIGNIDADE HUMANA, RESGATE SOCIAL E MELHORIA DA QUALIDADE DE VIDA, NO ÂMBITO DO ESTADO DO RIO DE JANEIRO.</t>
        </is>
      </c>
      <c r="E412" s="2" t="inlineStr">
        <is>
          <t>RENATA SOUZA</t>
        </is>
      </c>
      <c r="F412" s="18" t="inlineStr">
        <is>
          <t>ALEXANDRE KNOPLOCH</t>
        </is>
      </c>
      <c r="G412" s="10" t="n"/>
      <c r="H412" s="10" t="n"/>
      <c r="I412" s="4" t="inlineStr">
        <is>
          <t>PLENÁRIO</t>
        </is>
      </c>
      <c r="J412" s="9" t="n">
        <v>46126</v>
      </c>
      <c r="K412" s="4" t="n"/>
      <c r="L412" s="4" t="n"/>
      <c r="M412" s="9" t="n">
        <v>46126</v>
      </c>
      <c r="N412" s="4" t="n"/>
      <c r="O412" s="4" t="n"/>
      <c r="P412" s="4" t="n"/>
      <c r="Q412" s="12" t="inlineStr">
        <is>
          <t>Não</t>
        </is>
      </c>
      <c r="R412" s="2" t="inlineStr">
        <is>
          <t>Foi feito na 2aRE de 2025 e teve pedido de vista do Dep. Cozzolino. Foi a plenário em 14.04.2026.</t>
        </is>
      </c>
      <c r="S412" s="4" t="n"/>
      <c r="T412" s="4" t="n"/>
      <c r="U412" s="7" t="n"/>
      <c r="V412" s="3" t="inlineStr">
        <is>
          <t>http://alerjln1.alerj.rj.gov.br/scpro2327.nsf/18c1dd68f96be3e7832566ec0018d833/2bbcd9627347136d032589560067b2f3?OpenDocument</t>
        </is>
      </c>
      <c r="W412" s="3">
        <f>RIGHT(C412, 4)</f>
        <v/>
      </c>
      <c r="X412" s="3">
        <f>LEFT(C412, LEN(C412) - 5)</f>
        <v/>
      </c>
    </row>
    <row r="413" ht="120" customHeight="1" s="79">
      <c r="A413" s="2" t="inlineStr">
        <is>
          <t>Projeto Lei</t>
        </is>
      </c>
      <c r="B413" s="4" t="n"/>
      <c r="C413" s="73" t="inlineStr">
        <is>
          <t>2666/2020</t>
        </is>
      </c>
      <c r="D413" s="2" t="inlineStr">
        <is>
          <t>ALTERA A LEI Nº 6629, DE 12 DE DEZEMBRO DE 2013 “OBRIGA OS HOSPITAIS PARTICULARES LOCALIZADOS NO ESTADO DO RIO DE JANEIRO A DIVULGAREM, EM LOCAL DE FÁCIL VISUALIZAÇÃO, QUADRO CONTENDO A ATUALIZAÇÃO DE LEITOS DISPONÍVEIS”, PARA INCLUIR AS CLÍNICAS PARTICULARES E ESTABELECER MULTA DIÁRIA NOS CASOS DE DESCUMPRIMENTO DA NORMA E DÁ OUTRAS PROVIDÊNCIAS.</t>
        </is>
      </c>
      <c r="E413" s="2" t="inlineStr">
        <is>
          <t>CARLOS MINC</t>
        </is>
      </c>
      <c r="F413" s="18" t="inlineStr">
        <is>
          <t>ALEXANDRE KNOPLOCH</t>
        </is>
      </c>
      <c r="G413" s="10" t="n"/>
      <c r="H413" s="10" t="n"/>
      <c r="I413" s="4" t="n"/>
      <c r="J413" s="9" t="n">
        <v>46134</v>
      </c>
      <c r="K413" s="9" t="n">
        <v>46168</v>
      </c>
      <c r="L413" s="4" t="n"/>
      <c r="M413" s="4" t="n"/>
      <c r="N413" s="4" t="n"/>
      <c r="O413" s="4" t="n"/>
      <c r="P413" s="4" t="n"/>
      <c r="Q413" s="12" t="inlineStr">
        <is>
          <t>Sim</t>
        </is>
      </c>
      <c r="R413" s="2" t="n"/>
      <c r="S413" s="4" t="n"/>
      <c r="T413" s="4" t="n"/>
      <c r="U413" s="7" t="n"/>
      <c r="V413" s="3" t="inlineStr">
        <is>
          <t>http://alerjln1.alerj.rj.gov.br/scpro1923.nsf/18c1dd68f96be3e7832566ec0018d833/4101e03370bc0e840325856d006b1201?OpenDocument</t>
        </is>
      </c>
      <c r="W413" s="3">
        <f>RIGHT(C413, 4)</f>
        <v/>
      </c>
      <c r="X413" s="3">
        <f>LEFT(C413, LEN(C413) - 5)</f>
        <v/>
      </c>
    </row>
    <row r="414" ht="45" customHeight="1" s="79">
      <c r="A414" s="2" t="inlineStr">
        <is>
          <t>Projeto Lei</t>
        </is>
      </c>
      <c r="B414" s="4" t="n"/>
      <c r="C414" s="73" t="inlineStr">
        <is>
          <t>1955/2023</t>
        </is>
      </c>
      <c r="D414" s="2" t="inlineStr">
        <is>
          <t>INSTITUI A SEMANA ESTADUAL DE CONSCIENTIZAÇÃO SOBRE AS DOENÇAS TROPICAIS NEGLIGENCIADAS NO ÂMBITO DO ESTADO DO RIO DE JANEIRO.</t>
        </is>
      </c>
      <c r="E414" s="2" t="inlineStr">
        <is>
          <t>ELIKA TAKIMOTO</t>
        </is>
      </c>
      <c r="F414" s="18" t="inlineStr">
        <is>
          <t>ZEIDAN</t>
        </is>
      </c>
      <c r="G414" s="10" t="n"/>
      <c r="H414" s="10" t="n"/>
      <c r="I414" s="4" t="n"/>
      <c r="J414" s="9" t="n">
        <v>46134</v>
      </c>
      <c r="K414" s="9" t="n">
        <v>46168</v>
      </c>
      <c r="L414" s="4" t="n"/>
      <c r="M414" s="4" t="n"/>
      <c r="N414" s="4" t="n"/>
      <c r="O414" s="4" t="n"/>
      <c r="P414" s="4" t="n"/>
      <c r="Q414" s="12" t="inlineStr">
        <is>
          <t>Sim</t>
        </is>
      </c>
      <c r="R414" s="2" t="n"/>
      <c r="S414" s="4" t="n"/>
      <c r="T414" s="4" t="n"/>
      <c r="U414" s="7" t="n"/>
      <c r="V414" s="3" t="inlineStr">
        <is>
          <t>http://alerjln1.alerj.rj.gov.br/scpro2327.nsf/18c1dd68f96be3e7832566ec0018d833/ad9dcd52bf6182b203258a1d00667c0a?OpenDocument</t>
        </is>
      </c>
      <c r="W414" s="3">
        <f>RIGHT(C414, 4)</f>
        <v/>
      </c>
      <c r="X414" s="3">
        <f>LEFT(C414, LEN(C414) - 5)</f>
        <v/>
      </c>
    </row>
    <row r="415" ht="75" customHeight="1" s="79">
      <c r="A415" s="2" t="inlineStr">
        <is>
          <t>Projeto Lei</t>
        </is>
      </c>
      <c r="B415" s="4" t="n"/>
      <c r="C415" s="73" t="inlineStr">
        <is>
          <t>2872/2024</t>
        </is>
      </c>
      <c r="D415" s="2" t="inlineStr">
        <is>
          <t>DISPÕE SOBRE A CRIAÇÃO DE UMA PLATAFORMA DE INFORME ESTADUAL PARA REGISTRO DE CASOS DE LEISHMANIOSE, LEPTOSPIROSE E ESPOROTRICOSE EM ANIMAIS ATENDIDOS POR VETERINÁRIOS E TORNA A NOTIFICAÇÃO DESSAS DOENÇAS COMPULSÓRIA.</t>
        </is>
      </c>
      <c r="E415" s="2" t="inlineStr">
        <is>
          <t>MARTHA ROCHA</t>
        </is>
      </c>
      <c r="F415" s="18" t="inlineStr">
        <is>
          <t>ALEXANDRE KNOPLOCH</t>
        </is>
      </c>
      <c r="G415" s="10" t="n"/>
      <c r="H415" s="10" t="n"/>
      <c r="I415" s="4" t="n"/>
      <c r="J415" s="9" t="n">
        <v>46134</v>
      </c>
      <c r="K415" s="9" t="n">
        <v>46168</v>
      </c>
      <c r="L415" s="4" t="n"/>
      <c r="M415" s="4" t="n"/>
      <c r="N415" s="4" t="n"/>
      <c r="O415" s="4" t="n"/>
      <c r="P415" s="4" t="n"/>
      <c r="Q415" s="12" t="inlineStr">
        <is>
          <t>Sim</t>
        </is>
      </c>
      <c r="R415" s="2" t="n"/>
      <c r="S415" s="4" t="n"/>
      <c r="T415" s="4" t="n"/>
      <c r="U415" s="7" t="n"/>
      <c r="V415" s="3" t="inlineStr">
        <is>
          <t>http://alerjln1.alerj.rj.gov.br/scpro2327.nsf/18c1dd68f96be3e7832566ec0018d833/b727f287d86a9a7c03258aba00508182?OpenDocument</t>
        </is>
      </c>
      <c r="W415" s="3">
        <f>RIGHT(C415, 4)</f>
        <v/>
      </c>
      <c r="X415" s="3">
        <f>LEFT(C415, LEN(C415) - 5)</f>
        <v/>
      </c>
    </row>
    <row r="416" ht="60" customHeight="1" s="79">
      <c r="A416" s="2" t="inlineStr">
        <is>
          <t>Projeto Lei</t>
        </is>
      </c>
      <c r="B416" s="4" t="n"/>
      <c r="C416" s="73" t="inlineStr">
        <is>
          <t>4184/2024</t>
        </is>
      </c>
      <c r="D416" s="2" t="inlineStr">
        <is>
          <t>ALTERA A LEI Nº 3.613, DE 18 DE JULHO DE 2001, QUE “DISPÕE SOBRE OS DIREITOS DOS USUÁRIOS DOS SERVIÇOS E DAS AÇÕES DE SAÚDE NO ESTADO DO RIO DE JANEIRO E DÁ OUTRAS PROVIDÊNCIAS.”</t>
        </is>
      </c>
      <c r="E416" s="2" t="inlineStr">
        <is>
          <t>THIAGO GAGLIASSO</t>
        </is>
      </c>
      <c r="F416" s="18" t="inlineStr">
        <is>
          <t>ALEXANDRE KNOPLOCH</t>
        </is>
      </c>
      <c r="G416" s="10" t="n"/>
      <c r="H416" s="10" t="n"/>
      <c r="I416" s="4" t="n"/>
      <c r="J416" s="9" t="n">
        <v>46134</v>
      </c>
      <c r="K416" s="9" t="n">
        <v>46168</v>
      </c>
      <c r="L416" s="4" t="n"/>
      <c r="M416" s="4" t="n"/>
      <c r="N416" s="4" t="n"/>
      <c r="O416" s="4" t="n"/>
      <c r="P416" s="4" t="n"/>
      <c r="Q416" s="12" t="inlineStr">
        <is>
          <t>Sim</t>
        </is>
      </c>
      <c r="R416" s="2" t="n"/>
      <c r="S416" s="4" t="n"/>
      <c r="T416" s="4" t="n"/>
      <c r="U416" s="7" t="n"/>
      <c r="V416" s="3" t="inlineStr">
        <is>
          <t>http://alerjln1.alerj.rj.gov.br/scpro2327.nsf/18c1dd68f96be3e7832566ec0018d833/1e2ae9c22189fcfc03258ba20054af25?OpenDocument</t>
        </is>
      </c>
      <c r="W416" s="3">
        <f>RIGHT(C416, 4)</f>
        <v/>
      </c>
      <c r="X416" s="3">
        <f>LEFT(C416, LEN(C416) - 5)</f>
        <v/>
      </c>
    </row>
    <row r="417" ht="60" customHeight="1" s="79">
      <c r="A417" s="2" t="inlineStr">
        <is>
          <t>Projeto Lei</t>
        </is>
      </c>
      <c r="B417" s="4" t="n"/>
      <c r="C417" s="73" t="inlineStr">
        <is>
          <t>4975/2025</t>
        </is>
      </c>
      <c r="D417" s="2" t="inlineStr">
        <is>
          <t>DISPÕE SOBRE A DISTRIBUIÇÃO GRATUITA DE SUPLEMENTOS VITAMÍNICOS E MINERAIS PARA PACIENTES BARIÁTRICOS NO ESTADO DO RIO DE JANEIRO.</t>
        </is>
      </c>
      <c r="E417" s="2" t="inlineStr">
        <is>
          <t>GISELLE MONTEIRO</t>
        </is>
      </c>
      <c r="F417" s="18" t="inlineStr">
        <is>
          <t>BRUNO DAUAIRE</t>
        </is>
      </c>
      <c r="G417" s="10" t="n"/>
      <c r="H417" s="10" t="n"/>
      <c r="I417" s="4" t="n"/>
      <c r="J417" s="9" t="n">
        <v>46134</v>
      </c>
      <c r="K417" s="9" t="n">
        <v>46168</v>
      </c>
      <c r="L417" s="4" t="n"/>
      <c r="M417" s="4" t="n"/>
      <c r="N417" s="4" t="n"/>
      <c r="O417" s="4" t="n"/>
      <c r="P417" s="4" t="n"/>
      <c r="Q417" s="12" t="inlineStr">
        <is>
          <t>Sim</t>
        </is>
      </c>
      <c r="R417" s="2" t="n"/>
      <c r="S417" s="4" t="n"/>
      <c r="T417" s="4" t="n"/>
      <c r="U417" s="7" t="n"/>
      <c r="V417" s="3" t="inlineStr">
        <is>
          <t>http://alerjln1.alerj.rj.gov.br/scpro2327.nsf/18c1dd68f96be3e7832566ec0018d833/8c2bf56280feece703258c51006cbfe2?OpenDocument</t>
        </is>
      </c>
      <c r="W417" s="3">
        <f>RIGHT(C417, 4)</f>
        <v/>
      </c>
      <c r="X417" s="3">
        <f>LEFT(C417, LEN(C417) - 5)</f>
        <v/>
      </c>
    </row>
    <row r="418" ht="75" customHeight="1" s="79">
      <c r="A418" s="2" t="inlineStr">
        <is>
          <t>Projeto Lei</t>
        </is>
      </c>
      <c r="B418" s="4" t="n"/>
      <c r="C418" s="73" t="inlineStr">
        <is>
          <t>2665/2023</t>
        </is>
      </c>
      <c r="D418" s="2" t="inlineStr">
        <is>
          <t>AUTORIZA O ÓRGÃO AMBIENTAL COMPETENTE A FORMALIZAR, EM REGIME DE MÚTUA COOPERAÇÃO, PARCERIAS COM ENTIDADES DO TERCEIRO SETOR PARA A CONSECUÇÃO DE PREVENÇÃO E COMBATE AO INCÊNDIO FLORESTAL, E DÁ OUTRAS PROVIDÊNCIAS.</t>
        </is>
      </c>
      <c r="E418" s="2" t="inlineStr">
        <is>
          <t>CARLOS MINC</t>
        </is>
      </c>
      <c r="F418" s="18" t="inlineStr">
        <is>
          <t>ANDRÉ CORRÊA</t>
        </is>
      </c>
      <c r="G418" s="10" t="n"/>
      <c r="H418" s="10" t="n"/>
      <c r="I418" s="4" t="n"/>
      <c r="J418" s="9" t="n">
        <v>46142</v>
      </c>
      <c r="K418" s="9" t="n">
        <v>46168</v>
      </c>
      <c r="L418" s="4" t="n"/>
      <c r="M418" s="4" t="n"/>
      <c r="N418" s="4" t="n"/>
      <c r="O418" s="4" t="n"/>
      <c r="P418" s="4" t="n"/>
      <c r="Q418" s="12" t="inlineStr">
        <is>
          <t>Sim</t>
        </is>
      </c>
      <c r="R418" s="2" t="n"/>
      <c r="S418" s="4" t="n"/>
      <c r="T418" s="4" t="n"/>
      <c r="U418" s="7" t="n"/>
      <c r="V418" s="3" t="inlineStr">
        <is>
          <t>http://alerjln1.alerj.rj.gov.br/scpro2327.nsf/18c1dd68f96be3e7832566ec0018d833/b3e263ac03c6119103258a750051237b?OpenDocument</t>
        </is>
      </c>
      <c r="W418" s="3">
        <f>RIGHT(C418, 4)</f>
        <v/>
      </c>
      <c r="X418" s="3">
        <f>LEFT(C418, LEN(C418) - 5)</f>
        <v/>
      </c>
    </row>
    <row r="419" ht="45" customHeight="1" s="79">
      <c r="A419" s="2" t="inlineStr">
        <is>
          <t>Projeto Lei</t>
        </is>
      </c>
      <c r="B419" s="4" t="n"/>
      <c r="C419" s="73" t="inlineStr">
        <is>
          <t>2823/2023</t>
        </is>
      </c>
      <c r="D419" s="2" t="inlineStr">
        <is>
          <t>INSTITUI O PROGRAMA DE FOMENTO ÀS FEIRAS LITERÁRIAS E FESTIVAIS DE LIVROS DO ESTADO DO RIO DE JANEIRO</t>
        </is>
      </c>
      <c r="E419" s="2" t="inlineStr">
        <is>
          <t>VERONICA LIMA</t>
        </is>
      </c>
      <c r="F419" s="18" t="inlineStr">
        <is>
          <t>GUSTAVO TUTUCA</t>
        </is>
      </c>
      <c r="G419" s="10" t="n"/>
      <c r="H419" s="10" t="n"/>
      <c r="I419" s="4" t="n"/>
      <c r="J419" s="9" t="n">
        <v>46142</v>
      </c>
      <c r="K419" s="9" t="n">
        <v>46168</v>
      </c>
      <c r="L419" s="4" t="n"/>
      <c r="M419" s="4" t="n"/>
      <c r="N419" s="4" t="n"/>
      <c r="O419" s="4" t="n"/>
      <c r="P419" s="4" t="n"/>
      <c r="Q419" s="12" t="inlineStr">
        <is>
          <t>Sim</t>
        </is>
      </c>
      <c r="R419" s="2" t="n"/>
      <c r="S419" s="4" t="n"/>
      <c r="T419" s="4" t="n"/>
      <c r="U419" s="7" t="n"/>
      <c r="V419" s="3" t="inlineStr">
        <is>
          <t>http://alerjln1.alerj.rj.gov.br/scpro2327.nsf/18c1dd68f96be3e7832566ec0018d833/54be4d212e97492303258a85006126b7?OpenDocument</t>
        </is>
      </c>
      <c r="W419" s="3">
        <f>RIGHT(C419, 4)</f>
        <v/>
      </c>
      <c r="X419" s="3">
        <f>LEFT(C419, LEN(C419) - 5)</f>
        <v/>
      </c>
    </row>
    <row r="420" ht="60" customHeight="1" s="79">
      <c r="A420" s="2" t="inlineStr">
        <is>
          <t>Projeto Lei</t>
        </is>
      </c>
      <c r="B420" s="4" t="n"/>
      <c r="C420" s="73" t="inlineStr">
        <is>
          <t>3572/2024</t>
        </is>
      </c>
      <c r="D420" s="2" t="inlineStr">
        <is>
          <t>DISPÕE SOBRE A PROMOÇÃO DA ACESSIBILIDADE NO ECOTURISMO PARA PESSOAS COM DEFICIÊNCIA OU MOBILIDADE REDUZIDA NO ESTADO DO RIO DE JANEIRO.</t>
        </is>
      </c>
      <c r="E420" s="2" t="inlineStr">
        <is>
          <t>CARLA MACHADO</t>
        </is>
      </c>
      <c r="F420" s="18" t="inlineStr">
        <is>
          <t>GUSTAVO TUTUCA</t>
        </is>
      </c>
      <c r="G420" s="10" t="n"/>
      <c r="H420" s="10" t="n"/>
      <c r="I420" s="4" t="n"/>
      <c r="J420" s="9" t="n">
        <v>46142</v>
      </c>
      <c r="K420" s="9" t="n">
        <v>46168</v>
      </c>
      <c r="L420" s="4" t="n"/>
      <c r="M420" s="4" t="n"/>
      <c r="N420" s="4" t="n"/>
      <c r="O420" s="4" t="n"/>
      <c r="P420" s="4" t="n"/>
      <c r="Q420" s="12" t="inlineStr">
        <is>
          <t>Sim</t>
        </is>
      </c>
      <c r="R420" s="2" t="n"/>
      <c r="S420" s="4" t="n"/>
      <c r="T420" s="4" t="n"/>
      <c r="U420" s="7" t="n"/>
      <c r="V420" s="3" t="inlineStr">
        <is>
          <t>http://alerjln1.alerj.rj.gov.br/scpro2327.nsf/18c1dd68f96be3e7832566ec0018d833/7ecb2831ebaf6ec303258b19005de233?OpenDocument</t>
        </is>
      </c>
      <c r="W420" s="3">
        <f>RIGHT(C420, 4)</f>
        <v/>
      </c>
      <c r="X420" s="3">
        <f>LEFT(C420, LEN(C420) - 5)</f>
        <v/>
      </c>
    </row>
    <row r="421" ht="30" customHeight="1" s="79">
      <c r="A421" s="2" t="inlineStr">
        <is>
          <t>Projeto Lei</t>
        </is>
      </c>
      <c r="B421" s="4" t="n"/>
      <c r="C421" s="73" t="inlineStr">
        <is>
          <t>754/2023</t>
        </is>
      </c>
      <c r="D421" s="2" t="inlineStr">
        <is>
          <t>INSTITUI, NO ÂMBITO DO ESTADO DO RIO DE JANEIRO, O DISQUE AUTISMO.</t>
        </is>
      </c>
      <c r="E421" s="2" t="inlineStr">
        <is>
          <t>LUIZ CLAUDIO RIBEIRO</t>
        </is>
      </c>
      <c r="F421" s="18" t="inlineStr">
        <is>
          <t>ZEIDAN</t>
        </is>
      </c>
      <c r="G421" s="10" t="n"/>
      <c r="H421" s="10" t="n"/>
      <c r="I421" s="4" t="n"/>
      <c r="J421" s="9" t="n">
        <v>46147</v>
      </c>
      <c r="K421" s="9" t="n">
        <v>46168</v>
      </c>
      <c r="L421" s="4" t="n"/>
      <c r="M421" s="4" t="n"/>
      <c r="N421" s="4" t="n"/>
      <c r="O421" s="4" t="n"/>
      <c r="P421" s="4" t="n"/>
      <c r="Q421" s="12" t="inlineStr">
        <is>
          <t>Sim</t>
        </is>
      </c>
      <c r="R421" s="2" t="n"/>
      <c r="S421" s="4" t="n"/>
      <c r="T421" s="4" t="n"/>
      <c r="U421" s="7" t="n"/>
      <c r="V421" s="3" t="inlineStr">
        <is>
          <t>http://alerjln1.alerj.rj.gov.br/scpro2327.nsf/18c1dd68f96be3e7832566ec0018d833/2a00b9407ca3aded032589950061cece?OpenDocument</t>
        </is>
      </c>
      <c r="W421" s="3">
        <f>RIGHT(C421, 4)</f>
        <v/>
      </c>
      <c r="X421" s="3">
        <f>LEFT(C421, LEN(C421) - 5)</f>
        <v/>
      </c>
    </row>
    <row r="422" ht="60" customHeight="1" s="79">
      <c r="A422" s="2" t="inlineStr">
        <is>
          <t>Projeto Lei</t>
        </is>
      </c>
      <c r="B422" s="4" t="n"/>
      <c r="C422" s="73" t="inlineStr">
        <is>
          <t>4111/2024</t>
        </is>
      </c>
      <c r="D422" s="2" t="inlineStr">
        <is>
          <t>DISPÕE SOBRE A CRIAÇÃO DO PROGRAMA DE HORTAS COMUNITÁRIAS EM INSTITUIÇÕES DE LONGA PERMANÊNCIA PARA IDOSOS (ILPIS), NO ÂMBITO DO ESTADO DO RIO DE JANEIRO.</t>
        </is>
      </c>
      <c r="E422" s="2" t="inlineStr">
        <is>
          <t>CARLA MACHADO</t>
        </is>
      </c>
      <c r="F422" s="18" t="inlineStr">
        <is>
          <t>ZEIDAN</t>
        </is>
      </c>
      <c r="G422" s="10" t="n"/>
      <c r="H422" s="10" t="n"/>
      <c r="I422" s="4" t="n"/>
      <c r="J422" s="9" t="n">
        <v>46147</v>
      </c>
      <c r="K422" s="9" t="n">
        <v>46168</v>
      </c>
      <c r="L422" s="4" t="n"/>
      <c r="M422" s="4" t="n"/>
      <c r="N422" s="4" t="n"/>
      <c r="O422" s="4" t="n"/>
      <c r="P422" s="4" t="n"/>
      <c r="Q422" s="12" t="inlineStr">
        <is>
          <t>Sim</t>
        </is>
      </c>
      <c r="R422" s="2" t="n"/>
      <c r="S422" s="4" t="n"/>
      <c r="T422" s="4" t="n"/>
      <c r="U422" s="7" t="n"/>
      <c r="V422" s="3" t="inlineStr">
        <is>
          <t>http://alerjln1.alerj.rj.gov.br/scpro2327.nsf/18c1dd68f96be3e7832566ec0018d833/0026df99465aa1eb03258b8d0053284c?OpenDocument</t>
        </is>
      </c>
      <c r="W422" s="3">
        <f>RIGHT(C422, 4)</f>
        <v/>
      </c>
      <c r="X422" s="3">
        <f>LEFT(C422, LEN(C422) - 5)</f>
        <v/>
      </c>
    </row>
    <row r="423" ht="30" customHeight="1" s="79">
      <c r="A423" s="2" t="inlineStr">
        <is>
          <t>Processo</t>
        </is>
      </c>
      <c r="B423" s="4" t="n"/>
      <c r="C423" s="2" t="inlineStr">
        <is>
          <t>5033/2026</t>
        </is>
      </c>
      <c r="D423" s="2" t="inlineStr">
        <is>
          <t>TEC/RJ 101.716-9/2026 ACORDAO PELA REGULARIDADE DAS CONSTAS COM QUITAÇÃO PLENA</t>
        </is>
      </c>
      <c r="E423" s="2" t="inlineStr">
        <is>
          <t>TRIBUNAL DE CONTAS DO ESTADO - TCE</t>
        </is>
      </c>
      <c r="F423" s="18" t="n"/>
      <c r="G423" s="10" t="n"/>
      <c r="H423" s="10" t="n"/>
      <c r="I423" s="4" t="n"/>
      <c r="J423" s="9" t="n">
        <v>46148</v>
      </c>
      <c r="K423" s="4" t="n"/>
      <c r="L423" s="4" t="n"/>
      <c r="M423" s="4" t="n"/>
      <c r="N423" s="4" t="n"/>
      <c r="O423" s="4" t="n"/>
      <c r="P423" s="4" t="n"/>
      <c r="Q423" s="12" t="inlineStr">
        <is>
          <t>Sim</t>
        </is>
      </c>
      <c r="R423" s="2" t="n"/>
      <c r="S423" s="4" t="n"/>
      <c r="T423" s="4" t="n"/>
      <c r="U423" s="7" t="n"/>
      <c r="V423" s="3" t="inlineStr">
        <is>
          <t>CONTAS TCE 2025</t>
        </is>
      </c>
      <c r="W423" s="3">
        <f>RIGHT(C423, 4)</f>
        <v/>
      </c>
      <c r="X423" s="3">
        <f>LEFT(C423, LEN(C423) - 5)</f>
        <v/>
      </c>
    </row>
    <row r="424" ht="30" customHeight="1" s="79">
      <c r="A424" s="2" t="inlineStr">
        <is>
          <t>Processo</t>
        </is>
      </c>
      <c r="B424" s="4" t="n"/>
      <c r="C424" s="2" t="inlineStr">
        <is>
          <t>5034/2026</t>
        </is>
      </c>
      <c r="D424" s="2" t="inlineStr">
        <is>
          <t>TEC/RJ 102.000-5/2026 ACORDAO PELA REGULARIDADE DAS CONSTAS COM QUITAÇÃO PLENA</t>
        </is>
      </c>
      <c r="E424" s="2" t="inlineStr">
        <is>
          <t>TRIBUNAL DE CONTAS DO ESTADO - TCE</t>
        </is>
      </c>
      <c r="F424" s="18" t="n"/>
      <c r="G424" s="10" t="n"/>
      <c r="H424" s="10" t="n"/>
      <c r="I424" s="4" t="n"/>
      <c r="J424" s="9" t="n">
        <v>46148</v>
      </c>
      <c r="K424" s="4" t="n"/>
      <c r="L424" s="4" t="n"/>
      <c r="M424" s="4" t="n"/>
      <c r="N424" s="4" t="n"/>
      <c r="O424" s="4" t="n"/>
      <c r="P424" s="4" t="n"/>
      <c r="Q424" s="12" t="inlineStr">
        <is>
          <t>Sim</t>
        </is>
      </c>
      <c r="R424" s="2" t="n"/>
      <c r="S424" s="4" t="n"/>
      <c r="T424" s="4" t="n"/>
      <c r="U424" s="7" t="n"/>
      <c r="V424" s="3" t="inlineStr">
        <is>
          <t>CONTAS TCE 2025</t>
        </is>
      </c>
      <c r="W424" s="3">
        <f>RIGHT(C424, 4)</f>
        <v/>
      </c>
      <c r="X424" s="3">
        <f>LEFT(C424, LEN(C424) - 5)</f>
        <v/>
      </c>
    </row>
    <row r="425" ht="30" customHeight="1" s="79">
      <c r="A425" s="2" t="inlineStr">
        <is>
          <t>Processo</t>
        </is>
      </c>
      <c r="B425" s="4" t="n"/>
      <c r="C425" s="2" t="inlineStr">
        <is>
          <t>5036/2026</t>
        </is>
      </c>
      <c r="D425" s="2" t="inlineStr">
        <is>
          <t>TEC/RJ 101.782-8/2026 ACORDAO PELA REGULARIDADE DAS CONSTAS COM QUITAÇÃO PLENA</t>
        </is>
      </c>
      <c r="E425" s="2" t="inlineStr">
        <is>
          <t>TRIBUNAL DE CONTAS DO ESTADO - TCE</t>
        </is>
      </c>
      <c r="F425" s="18" t="n"/>
      <c r="G425" s="10" t="n"/>
      <c r="H425" s="10" t="n"/>
      <c r="I425" s="4" t="n"/>
      <c r="J425" s="9" t="n">
        <v>46148</v>
      </c>
      <c r="K425" s="4" t="n"/>
      <c r="L425" s="4" t="n"/>
      <c r="M425" s="4" t="n"/>
      <c r="N425" s="4" t="n"/>
      <c r="O425" s="4" t="n"/>
      <c r="P425" s="4" t="n"/>
      <c r="Q425" s="12" t="inlineStr">
        <is>
          <t>Sim</t>
        </is>
      </c>
      <c r="R425" s="2" t="n"/>
      <c r="S425" s="4" t="n"/>
      <c r="T425" s="4" t="n"/>
      <c r="U425" s="7" t="n"/>
      <c r="V425" s="3" t="inlineStr">
        <is>
          <t>CONTAS TCE 2025</t>
        </is>
      </c>
      <c r="W425" s="3">
        <f>RIGHT(C425, 4)</f>
        <v/>
      </c>
      <c r="X425" s="3">
        <f>LEFT(C425, LEN(C425) - 5)</f>
        <v/>
      </c>
    </row>
    <row r="426" ht="60" customHeight="1" s="79">
      <c r="A426" s="2" t="inlineStr">
        <is>
          <t>Projeto Lei</t>
        </is>
      </c>
      <c r="B426" s="4" t="n"/>
      <c r="C426" s="73" t="inlineStr">
        <is>
          <t>EP 2417/2017</t>
        </is>
      </c>
      <c r="D426" s="2" t="inlineStr">
        <is>
          <t>ALTERA A LEI Nº 4.808, DE 04 DE JULHO DE 2006, PARA CRIAR O PROGRAMA "ADOTE UM AMIGO" NA REDE DE ENSINO PÚBLICO E PRIVADO DO ESTADO DO RIO DE JANEIRO.</t>
        </is>
      </c>
      <c r="E426" s="2" t="inlineStr">
        <is>
          <t>ÁTILA NUNES</t>
        </is>
      </c>
      <c r="F426" s="18" t="inlineStr">
        <is>
          <t>ZEIDAN</t>
        </is>
      </c>
      <c r="G426" s="10" t="n"/>
      <c r="H426" s="10" t="n"/>
      <c r="I426" s="4" t="n"/>
      <c r="J426" s="9" t="n">
        <v>46147</v>
      </c>
      <c r="K426" s="9" t="n">
        <v>46168</v>
      </c>
      <c r="L426" s="4" t="n"/>
      <c r="M426" s="4" t="n"/>
      <c r="N426" s="4" t="n"/>
      <c r="O426" s="4" t="n"/>
      <c r="P426" s="4" t="n"/>
      <c r="Q426" s="12" t="inlineStr">
        <is>
          <t>Sim</t>
        </is>
      </c>
      <c r="R426" s="2" t="n"/>
      <c r="S426" s="4" t="n"/>
      <c r="T426" s="4" t="n"/>
      <c r="U426" s="7" t="n"/>
      <c r="V426" s="3" t="inlineStr">
        <is>
          <t>http://alerjln1.alerj.rj.gov.br/scpro1519.nsf/18c1dd68f96be3e7832566ec0018d833/93709439f11756f8832580dc00625a03?OpenDocument</t>
        </is>
      </c>
      <c r="W426" s="3">
        <f>RIGHT(C426, 4)</f>
        <v/>
      </c>
      <c r="X426" s="3">
        <f>LEFT(C426, LEN(C426) - 5)</f>
        <v/>
      </c>
    </row>
    <row r="427" ht="105" customHeight="1" s="79">
      <c r="A427" s="2" t="inlineStr">
        <is>
          <t>Projeto Lei</t>
        </is>
      </c>
      <c r="B427" s="4" t="n"/>
      <c r="C427" s="73" t="inlineStr">
        <is>
          <t>EP 3655/2017</t>
        </is>
      </c>
      <c r="D427" s="2" t="inlineStr">
        <is>
          <t>ALTERA A LEI Nº 7.108, DE 19 DE NOVEMBRO DE 2015, PARA INSTITUIR NO CALENDÁRIO OFICIAL DO RIO DE JANEIRO O DIA  DE LUTA CONTRA O HIV/AIDS, BEM COMO IMPLEMENTAR AÇÕES DE PREVENÇÃO ÀS DOENÇAS SEXUALMENTE TRANSMISSÍVEIS  - DST E AO HIV/AIDS NA CAMPANHA DENOMINADA “DEZEMBRO VERMELHO”.</t>
        </is>
      </c>
      <c r="E427" s="2" t="inlineStr">
        <is>
          <t>ÁTILA NUNES</t>
        </is>
      </c>
      <c r="F427" s="18" t="inlineStr">
        <is>
          <t>BRUNO DAUAIRE</t>
        </is>
      </c>
      <c r="G427" s="10" t="n"/>
      <c r="H427" s="10" t="n"/>
      <c r="I427" s="4" t="n"/>
      <c r="J427" s="9" t="n">
        <v>46147</v>
      </c>
      <c r="K427" s="9" t="n">
        <v>46168</v>
      </c>
      <c r="L427" s="4" t="n"/>
      <c r="M427" s="4" t="n"/>
      <c r="N427" s="4" t="n"/>
      <c r="O427" s="4" t="n"/>
      <c r="P427" s="4" t="n"/>
      <c r="Q427" s="12" t="inlineStr">
        <is>
          <t>Sim</t>
        </is>
      </c>
      <c r="R427" s="2" t="n"/>
      <c r="S427" s="4" t="n"/>
      <c r="T427" s="4" t="n"/>
      <c r="U427" s="7" t="n"/>
      <c r="V427" s="3" t="inlineStr">
        <is>
          <t>http://alerjln1.alerj.rj.gov.br/scpro1519.nsf/18c1dd68f96be3e7832566ec0018d833/04bc8bb81e187805832581d8005de236?OpenDocument</t>
        </is>
      </c>
      <c r="W427" s="3">
        <f>RIGHT(C427, 4)</f>
        <v/>
      </c>
      <c r="X427" s="3">
        <f>LEFT(C427, LEN(C427) - 5)</f>
        <v/>
      </c>
    </row>
    <row r="428" ht="45" customHeight="1" s="79">
      <c r="A428" s="2" t="inlineStr">
        <is>
          <t>Projeto Lei</t>
        </is>
      </c>
      <c r="B428" s="4" t="n"/>
      <c r="C428" s="73" t="inlineStr">
        <is>
          <t>262/2023</t>
        </is>
      </c>
      <c r="D428" s="2" t="inlineStr">
        <is>
          <t>INSTITUI O PROGRAMA DE SAÚDE DO TRABALHADOR DO TRÂNSITO NO ESTADO DO RIO DE JANEIRO - PROSAT, NA FORMA QUE MENCIONA.</t>
        </is>
      </c>
      <c r="E428" s="2" t="inlineStr">
        <is>
          <t>ANDERSON MORAES</t>
        </is>
      </c>
      <c r="F428" s="18" t="inlineStr">
        <is>
          <t>ANDRÉ CORRÊA</t>
        </is>
      </c>
      <c r="G428" s="10" t="n"/>
      <c r="H428" s="10" t="n"/>
      <c r="I428" s="4" t="n"/>
      <c r="J428" s="9" t="n">
        <v>46147</v>
      </c>
      <c r="K428" s="9" t="n">
        <v>46168</v>
      </c>
      <c r="L428" s="4" t="n"/>
      <c r="M428" s="4" t="n"/>
      <c r="N428" s="4" t="n"/>
      <c r="O428" s="4" t="n"/>
      <c r="P428" s="4" t="n"/>
      <c r="Q428" s="12" t="inlineStr">
        <is>
          <t>Sim</t>
        </is>
      </c>
      <c r="R428" s="2" t="n"/>
      <c r="S428" s="4" t="n"/>
      <c r="T428" s="4" t="n"/>
      <c r="U428" s="7" t="n"/>
      <c r="V428" s="3" t="inlineStr">
        <is>
          <t>http://alerjln1.alerj.rj.gov.br/scpro2327.nsf/18c1dd68f96be3e7832566ec0018d833/bf25086a3cb97fd003258963004f1f01?OpenDocument</t>
        </is>
      </c>
      <c r="W428" s="3">
        <f>RIGHT(C428, 4)</f>
        <v/>
      </c>
      <c r="X428" s="3">
        <f>LEFT(C428, LEN(C428) - 5)</f>
        <v/>
      </c>
    </row>
    <row r="429" ht="45" customHeight="1" s="79">
      <c r="A429" s="2" t="inlineStr">
        <is>
          <t>Projeto Lei</t>
        </is>
      </c>
      <c r="B429" s="4" t="n"/>
      <c r="C429" s="73" t="inlineStr">
        <is>
          <t>846/2023</t>
        </is>
      </c>
      <c r="D429" s="2" t="inlineStr">
        <is>
          <t>INSTITUI O SISTEMA ESTADUAL DE PROMOÇÃO À SEGURANÇA NAS UNIDADES E ESTABELECIMENTOS DE ENSINO PÚBLICOS E PRIVADOS DO ESTADO</t>
        </is>
      </c>
      <c r="E429" s="2" t="inlineStr">
        <is>
          <t>ELIKA TAKIMOTO, RENATO MACHADO, Yuri</t>
        </is>
      </c>
      <c r="F429" s="18" t="inlineStr">
        <is>
          <t>ANDERSON MORAES</t>
        </is>
      </c>
      <c r="G429" s="10" t="n"/>
      <c r="H429" s="10" t="n"/>
      <c r="I429" s="4" t="n"/>
      <c r="J429" s="9" t="n">
        <v>46147</v>
      </c>
      <c r="K429" s="9" t="n">
        <v>46168</v>
      </c>
      <c r="L429" s="4" t="n"/>
      <c r="M429" s="4" t="n"/>
      <c r="N429" s="4" t="n"/>
      <c r="O429" s="4" t="n"/>
      <c r="P429" s="4" t="n"/>
      <c r="Q429" s="12" t="inlineStr">
        <is>
          <t>Sim</t>
        </is>
      </c>
      <c r="R429" s="2" t="n"/>
      <c r="S429" s="4" t="n"/>
      <c r="T429" s="4" t="n"/>
      <c r="U429" s="7" t="n"/>
      <c r="V429" s="3" t="inlineStr">
        <is>
          <t>http://alerjln1.alerj.rj.gov.br/scpro2327.nsf/18c1dd68f96be3e7832566ec0018d833/9bc1c5aef429d91e0325899d0065db97?OpenDocument</t>
        </is>
      </c>
      <c r="W429" s="3">
        <f>RIGHT(C429, 4)</f>
        <v/>
      </c>
      <c r="X429" s="3">
        <f>LEFT(C429, LEN(C429) - 5)</f>
        <v/>
      </c>
    </row>
    <row r="430" ht="60" customHeight="1" s="79">
      <c r="A430" s="2" t="inlineStr">
        <is>
          <t>Projeto Lei</t>
        </is>
      </c>
      <c r="B430" s="4" t="n"/>
      <c r="C430" s="73" t="inlineStr">
        <is>
          <t>3706/2024</t>
        </is>
      </c>
      <c r="D430" s="2" t="inlineStr">
        <is>
          <t>ESTABELECE NORMAS SOBRE A PATICIPAÇÃO DE SERVIÇOS DE TRANSPORTE INTERMUNICIPAL CONCEDIDOS EM CAMPANHAS EDUCATIVAS ESTADUAIS.</t>
        </is>
      </c>
      <c r="E430" s="2" t="inlineStr">
        <is>
          <t>BRAZAO</t>
        </is>
      </c>
      <c r="F430" s="18" t="inlineStr">
        <is>
          <t>CARLOS MACEDO</t>
        </is>
      </c>
      <c r="G430" s="10" t="n"/>
      <c r="H430" s="10" t="n"/>
      <c r="I430" s="4" t="n"/>
      <c r="J430" s="9" t="n">
        <v>46147</v>
      </c>
      <c r="K430" s="9" t="n">
        <v>46168</v>
      </c>
      <c r="L430" s="4" t="n"/>
      <c r="M430" s="4" t="n"/>
      <c r="N430" s="4" t="n"/>
      <c r="O430" s="4" t="n"/>
      <c r="P430" s="4" t="n"/>
      <c r="Q430" s="12" t="inlineStr">
        <is>
          <t>Sim</t>
        </is>
      </c>
      <c r="R430" s="2" t="n"/>
      <c r="S430" s="4" t="n"/>
      <c r="T430" s="4" t="n"/>
      <c r="U430" s="7" t="n"/>
      <c r="V430" s="3" t="inlineStr">
        <is>
          <t>http://alerjln1.alerj.rj.gov.br/scpro2327.nsf/18c1dd68f96be3e7832566ec0018d833/cace9f546304c71c03258b340044f3df?OpenDocument</t>
        </is>
      </c>
      <c r="W430" s="3">
        <f>RIGHT(C430, 4)</f>
        <v/>
      </c>
      <c r="X430" s="3">
        <f>LEFT(C430, LEN(C430) - 5)</f>
        <v/>
      </c>
    </row>
    <row r="431" ht="75" customHeight="1" s="79">
      <c r="A431" s="2" t="inlineStr">
        <is>
          <t>Projeto Lei</t>
        </is>
      </c>
      <c r="B431" s="4" t="n"/>
      <c r="C431" s="73" t="inlineStr">
        <is>
          <t>4754/2025</t>
        </is>
      </c>
      <c r="D431" s="2" t="inlineStr">
        <is>
          <t>AUTORIZA O PODER EXECUTIVO DO ESTADO DO RIO DE JANEIRO A OFERTAR CONSULTORIA TÉCNICA, ATRAVÉS DA SECRETARIA DE ESTADO DE FAZENDA-SEFAZ/RJ E DA PROCURADORIA GERAL DO ESTADO-PGE AOS MUNICÍPIOS FLUMINENSES</t>
        </is>
      </c>
      <c r="E431" s="2" t="inlineStr">
        <is>
          <t>LUIZ PAULO</t>
        </is>
      </c>
      <c r="F431" s="18" t="inlineStr">
        <is>
          <t>GUSTAVO TUTUCA</t>
        </is>
      </c>
      <c r="G431" s="10" t="n"/>
      <c r="H431" s="10" t="n"/>
      <c r="I431" s="4" t="n"/>
      <c r="J431" s="9" t="n">
        <v>46147</v>
      </c>
      <c r="K431" s="9" t="n">
        <v>46168</v>
      </c>
      <c r="L431" s="4" t="n"/>
      <c r="M431" s="4" t="n"/>
      <c r="N431" s="4" t="n"/>
      <c r="O431" s="4" t="n"/>
      <c r="P431" s="4" t="n"/>
      <c r="Q431" s="12" t="inlineStr">
        <is>
          <t>Sim</t>
        </is>
      </c>
      <c r="R431" s="2" t="n"/>
      <c r="S431" s="4" t="n"/>
      <c r="T431" s="4" t="n"/>
      <c r="U431" s="7" t="n"/>
      <c r="V431" s="3" t="inlineStr">
        <is>
          <t>http://alerjln1.alerj.rj.gov.br/scpro2327.nsf/18c1dd68f96be3e7832566ec0018d833/07541004378d38de03258c3400700a08?OpenDocument</t>
        </is>
      </c>
      <c r="W431" s="3">
        <f>RIGHT(C431, 4)</f>
        <v/>
      </c>
      <c r="X431" s="3">
        <f>LEFT(C431, LEN(C431) - 5)</f>
        <v/>
      </c>
    </row>
    <row r="432" ht="45" customHeight="1" s="79">
      <c r="A432" s="2" t="inlineStr">
        <is>
          <t>Projeto Lei</t>
        </is>
      </c>
      <c r="B432" s="4" t="n"/>
      <c r="C432" s="73" t="inlineStr">
        <is>
          <t>1169/2019</t>
        </is>
      </c>
      <c r="D432" s="2" t="inlineStr">
        <is>
          <t>DISPÕE SOBRE O PROGRAMA ESTADUAL DE INCENTIVO AO MONTANHISMO E DÁ OUTRAS PROVIDÊNCIAS.</t>
        </is>
      </c>
      <c r="E432" s="2" t="inlineStr">
        <is>
          <t>CARLOS MINC</t>
        </is>
      </c>
      <c r="F432" s="18" t="inlineStr">
        <is>
          <t>CARLOS MACEDO</t>
        </is>
      </c>
      <c r="G432" s="10" t="n"/>
      <c r="H432" s="10" t="n"/>
      <c r="I432" s="4" t="n"/>
      <c r="J432" s="9" t="n">
        <v>46149</v>
      </c>
      <c r="K432" s="9" t="n">
        <v>46168</v>
      </c>
      <c r="L432" s="4" t="n"/>
      <c r="M432" s="4" t="n"/>
      <c r="N432" s="4" t="n"/>
      <c r="O432" s="4" t="n"/>
      <c r="P432" s="4" t="n"/>
      <c r="Q432" s="12" t="inlineStr">
        <is>
          <t>Sim</t>
        </is>
      </c>
      <c r="R432" s="2" t="n"/>
      <c r="S432" s="4" t="n"/>
      <c r="T432" s="4" t="n"/>
      <c r="U432" s="7" t="n"/>
      <c r="V432" s="3" t="inlineStr">
        <is>
          <t>http://alerjln1.alerj.rj.gov.br/scpro1923.nsf/18c1dd68f96be3e7832566ec0018d833/a7dfac85aa712f7f8325846500647137?OpenDocument</t>
        </is>
      </c>
      <c r="W432" s="3">
        <f>RIGHT(C432, 4)</f>
        <v/>
      </c>
      <c r="X432" s="3">
        <f>LEFT(C432, LEN(C432) - 5)</f>
        <v/>
      </c>
    </row>
    <row r="433" ht="45" customHeight="1" s="79">
      <c r="A433" s="2" t="inlineStr">
        <is>
          <t>Projeto Lei</t>
        </is>
      </c>
      <c r="B433" s="4" t="n"/>
      <c r="C433" s="73" t="inlineStr">
        <is>
          <t>4926/2021</t>
        </is>
      </c>
      <c r="D433" s="2" t="inlineStr">
        <is>
          <t>DISPÕE SOBRE O “PROGRAMA ESTADUAL DE VACINAÇÃO NAS ESCOLAS PÚBLICAS”, NO ÂMBITO DO ESTADO DO RIO DE JANEIRO.</t>
        </is>
      </c>
      <c r="E433" s="2" t="inlineStr">
        <is>
          <t>BRAZAO</t>
        </is>
      </c>
      <c r="F433" s="18" t="inlineStr">
        <is>
          <t>ZEIDAN</t>
        </is>
      </c>
      <c r="G433" s="10" t="n"/>
      <c r="H433" s="10" t="n"/>
      <c r="I433" s="4" t="n"/>
      <c r="J433" s="9" t="n">
        <v>46149</v>
      </c>
      <c r="K433" s="9" t="n">
        <v>46168</v>
      </c>
      <c r="L433" s="4" t="n"/>
      <c r="M433" s="4" t="n"/>
      <c r="N433" s="4" t="n"/>
      <c r="O433" s="4" t="n"/>
      <c r="P433" s="4" t="n"/>
      <c r="Q433" s="12" t="inlineStr">
        <is>
          <t>Sim</t>
        </is>
      </c>
      <c r="R433" s="2" t="n"/>
      <c r="S433" s="4" t="n"/>
      <c r="T433" s="4" t="n"/>
      <c r="U433" s="7" t="n"/>
      <c r="V433" s="3" t="inlineStr">
        <is>
          <t>http://alerjln1.alerj.rj.gov.br/scpro1923.nsf/18c1dd68f96be3e7832566ec0018d833/9f0b8f2ce5241dc40325875f00581c96?OpenDocument</t>
        </is>
      </c>
      <c r="W433" s="3">
        <f>RIGHT(C433, 4)</f>
        <v/>
      </c>
      <c r="X433" s="3">
        <f>LEFT(C433, LEN(C433) - 5)</f>
        <v/>
      </c>
    </row>
    <row r="434" ht="45" customHeight="1" s="79">
      <c r="A434" s="2" t="inlineStr">
        <is>
          <t>Projeto Lei</t>
        </is>
      </c>
      <c r="B434" s="4" t="n"/>
      <c r="C434" s="73" t="inlineStr">
        <is>
          <t>2948/2020</t>
        </is>
      </c>
      <c r="D434" s="2" t="inlineStr">
        <is>
          <t>INSTITUI O PROGRAMA DE SAÚDE DO ESTADO DO RIO DE JANEIRO - PROSERJ, NA FORMA QUE MENCIONA E DÁ OUTRAS PROVIDÊNCIAS</t>
        </is>
      </c>
      <c r="E434" s="2" t="inlineStr">
        <is>
          <t>VALDECY DA SAUDE</t>
        </is>
      </c>
      <c r="F434" s="18" t="n"/>
      <c r="G434" s="10" t="n"/>
      <c r="H434" s="10" t="n"/>
      <c r="I434" s="4" t="n"/>
      <c r="J434" s="9" t="n">
        <v>46149</v>
      </c>
      <c r="K434" s="4" t="n"/>
      <c r="L434" s="4" t="n"/>
      <c r="M434" s="4" t="n"/>
      <c r="N434" s="4" t="n"/>
      <c r="O434" s="4" t="n"/>
      <c r="P434" s="4" t="n"/>
      <c r="Q434" s="12" t="inlineStr">
        <is>
          <t>Sim</t>
        </is>
      </c>
      <c r="R434" s="2" t="n"/>
      <c r="S434" s="4" t="n"/>
      <c r="T434" s="4" t="n"/>
      <c r="U434" s="7" t="n"/>
      <c r="V434" s="3" t="inlineStr">
        <is>
          <t>http://alerjln1.alerj.rj.gov.br/scpro1923.nsf/18c1dd68f96be3e7832566ec0018d833/f6151b52e871b046032585b5005d729c?OpenDocument</t>
        </is>
      </c>
      <c r="W434" s="3">
        <f>RIGHT(C434, 4)</f>
        <v/>
      </c>
      <c r="X434" s="3">
        <f>LEFT(C434, LEN(C434) - 5)</f>
        <v/>
      </c>
    </row>
    <row r="435" ht="105" customHeight="1" s="79">
      <c r="A435" s="2" t="inlineStr">
        <is>
          <t>Projeto Lei</t>
        </is>
      </c>
      <c r="B435" s="4" t="n"/>
      <c r="C435" s="73" t="inlineStr">
        <is>
          <t>671/2023</t>
        </is>
      </c>
      <c r="D435" s="2" t="inlineStr">
        <is>
          <t>DISPÕE SOBRE A OBRIGATORIEDADE DAS INSTITUIÇÕES DE ENSINO SUPERIOR FINANCIADAS PELO ESTADO DO RIO DE JANEIRO EM ENVIAR PRODUÇÕES CIENTÍFICAS CUJO OBJETO DISPONHA SOBRE TEMAS RELACIONADOS À MUNICIPALIDADE, AO MUNICÍPIO OBJETO DESTE ESTUDO, NA FORMA QUE MENCIONA.</t>
        </is>
      </c>
      <c r="E435" s="2" t="inlineStr">
        <is>
          <t>RENATO MIRANDA</t>
        </is>
      </c>
      <c r="F435" s="18" t="inlineStr">
        <is>
          <t>ALEXANDRE KNOPLOCH</t>
        </is>
      </c>
      <c r="G435" s="10" t="n"/>
      <c r="H435" s="10" t="n"/>
      <c r="I435" s="4" t="n"/>
      <c r="J435" s="9" t="n">
        <v>46149</v>
      </c>
      <c r="K435" s="9" t="n">
        <v>46168</v>
      </c>
      <c r="L435" s="4" t="n"/>
      <c r="M435" s="4" t="n"/>
      <c r="N435" s="4" t="n"/>
      <c r="O435" s="4" t="n"/>
      <c r="P435" s="4" t="n"/>
      <c r="Q435" s="12" t="inlineStr">
        <is>
          <t>Sim</t>
        </is>
      </c>
      <c r="R435" s="2" t="n"/>
      <c r="S435" s="4" t="n"/>
      <c r="T435" s="4" t="n"/>
      <c r="U435" s="7" t="n"/>
      <c r="V435" s="3" t="inlineStr">
        <is>
          <t>http://alerjln1.alerj.rj.gov.br/scpro2327.nsf/18c1dd68f96be3e7832566ec0018d833/241daa70a09e5e4003258988005df341?OpenDocument</t>
        </is>
      </c>
      <c r="W435" s="3">
        <f>RIGHT(C435, 4)</f>
        <v/>
      </c>
      <c r="X435" s="3">
        <f>LEFT(C435, LEN(C435) - 5)</f>
        <v/>
      </c>
    </row>
    <row r="436" ht="105" customHeight="1" s="79">
      <c r="A436" s="2" t="inlineStr">
        <is>
          <t>Projeto Lei</t>
        </is>
      </c>
      <c r="B436" s="4" t="n"/>
      <c r="C436" s="73" t="inlineStr">
        <is>
          <t>1870/2023</t>
        </is>
      </c>
      <c r="D436" s="2" t="inlineStr">
        <is>
          <t>DISPÕE SOBRE A IMPLANTAÇÃO DO PROGRAMA DE PROTOCOLO DE PRESERVAÇÃO E DE CUIDADO ECOLÓGICO DO RIO GUANDU, ATRAVÉS DA COOPERAÇÃO TÉCNICA DOS ÓRGÃOS DE PROTEÇÃO AMBIENTAL E OS MUNICÍPIOS ABRANGIDOS NO ÂMBITO DO ESTADO DO RIO DE JANEIRO, NA FORMA EM QUE ESPECIFICA.</t>
        </is>
      </c>
      <c r="E436" s="2" t="inlineStr">
        <is>
          <t>ROSENVERG REIS</t>
        </is>
      </c>
      <c r="F436" s="18" t="inlineStr">
        <is>
          <t>ANDRÉ CORRÊA</t>
        </is>
      </c>
      <c r="G436" s="10" t="n"/>
      <c r="H436" s="10" t="n"/>
      <c r="I436" s="4" t="n"/>
      <c r="J436" s="9" t="n">
        <v>46149</v>
      </c>
      <c r="K436" s="9" t="n">
        <v>46168</v>
      </c>
      <c r="L436" s="4" t="n"/>
      <c r="M436" s="4" t="n"/>
      <c r="N436" s="4" t="n"/>
      <c r="O436" s="4" t="n"/>
      <c r="P436" s="4" t="n"/>
      <c r="Q436" s="12" t="inlineStr">
        <is>
          <t>Sim</t>
        </is>
      </c>
      <c r="R436" s="2" t="n"/>
      <c r="S436" s="4" t="n"/>
      <c r="T436" s="4" t="n"/>
      <c r="U436" s="7" t="n"/>
      <c r="V436" s="3" t="inlineStr">
        <is>
          <t>http://alerjln1.alerj.rj.gov.br/scpro2327.nsf/18c1dd68f96be3e7832566ec0018d833/f6e3f3753a5cc9b003258a1a00575adb?OpenDocument</t>
        </is>
      </c>
      <c r="W436" s="3">
        <f>RIGHT(C436, 4)</f>
        <v/>
      </c>
      <c r="X436" s="3">
        <f>LEFT(C436, LEN(C436) - 5)</f>
        <v/>
      </c>
    </row>
    <row r="437" ht="30" customHeight="1" s="79">
      <c r="A437" s="2" t="inlineStr">
        <is>
          <t>Projeto Lei</t>
        </is>
      </c>
      <c r="B437" s="4" t="n"/>
      <c r="C437" s="73" t="inlineStr">
        <is>
          <t>6375/2025</t>
        </is>
      </c>
      <c r="D437" s="2" t="inlineStr">
        <is>
          <t>ALTERA A LEI Nº 10.900, DE 21 DE JULHO DE 2025, NA FORMA QUE MENCIONA.</t>
        </is>
      </c>
      <c r="E437" s="2" t="inlineStr">
        <is>
          <t>ALAN LOPES,FILIPPE POUBEL</t>
        </is>
      </c>
      <c r="F437" s="18" t="inlineStr">
        <is>
          <t>CARLOS MACEDO</t>
        </is>
      </c>
      <c r="G437" s="10" t="n"/>
      <c r="H437" s="10" t="n"/>
      <c r="I437" s="4" t="n"/>
      <c r="J437" s="9" t="n">
        <v>46149</v>
      </c>
      <c r="K437" s="9" t="n">
        <v>46168</v>
      </c>
      <c r="L437" s="4" t="n"/>
      <c r="M437" s="4" t="n"/>
      <c r="N437" s="4" t="n"/>
      <c r="O437" s="4" t="n"/>
      <c r="P437" s="4" t="n"/>
      <c r="Q437" s="12" t="inlineStr">
        <is>
          <t>Sim</t>
        </is>
      </c>
      <c r="R437" s="2" t="n"/>
      <c r="S437" s="4" t="n"/>
      <c r="T437" s="4" t="n"/>
      <c r="U437" s="7" t="n"/>
      <c r="V437" s="3" t="inlineStr">
        <is>
          <t>http://alerjln1.alerj.rj.gov.br/scpro2327.nsf/18c1dd68f96be3e7832566ec0018d833/7737cf3e88b314bc03258d0d007084b5?OpenDocument</t>
        </is>
      </c>
      <c r="W437" s="3">
        <f>RIGHT(C437, 4)</f>
        <v/>
      </c>
      <c r="X437" s="3">
        <f>LEFT(C437, LEN(C437) - 5)</f>
        <v/>
      </c>
    </row>
    <row r="438" ht="45" customHeight="1" s="79">
      <c r="A438" s="2" t="inlineStr">
        <is>
          <t>Projeto Lei</t>
        </is>
      </c>
      <c r="B438" s="4" t="n"/>
      <c r="C438" s="73" t="inlineStr">
        <is>
          <t>5326/2025</t>
        </is>
      </c>
      <c r="D438" s="2" t="inlineStr">
        <is>
          <t>INSTITUI NO ÂMBITO DO ESTADO DO RIO DE JANEIRO, O “PROGRAMA CIDADE AMIGA DO IDOSO” E ADOTA OUTRAS PROVIDÊNCIAS.</t>
        </is>
      </c>
      <c r="E438" s="2" t="inlineStr">
        <is>
          <t>VALDECY DA SAUDE</t>
        </is>
      </c>
      <c r="F438" s="18" t="inlineStr">
        <is>
          <t>ZEIDAN</t>
        </is>
      </c>
      <c r="G438" s="10" t="n"/>
      <c r="H438" s="10" t="n"/>
      <c r="I438" s="4" t="n"/>
      <c r="J438" s="9" t="n">
        <v>46149</v>
      </c>
      <c r="K438" s="9" t="n">
        <v>46168</v>
      </c>
      <c r="L438" s="4" t="n"/>
      <c r="M438" s="4" t="n"/>
      <c r="N438" s="4" t="n"/>
      <c r="O438" s="4" t="n"/>
      <c r="P438" s="4" t="n"/>
      <c r="Q438" s="12" t="inlineStr">
        <is>
          <t>Sim</t>
        </is>
      </c>
      <c r="R438" s="2" t="n"/>
      <c r="S438" s="4" t="n"/>
      <c r="T438" s="4" t="n"/>
      <c r="U438" s="7" t="n"/>
      <c r="V438" s="3" t="inlineStr">
        <is>
          <t>http://alerjln1.alerj.rj.gov.br/scpro2327.nsf/18c1dd68f96be3e7832566ec0018d833/cd1c1d07c5cb847903258ad900490c91?OpenDocument</t>
        </is>
      </c>
      <c r="W438" s="3">
        <f>RIGHT(C438, 4)</f>
        <v/>
      </c>
      <c r="X438" s="3">
        <f>LEFT(C438, LEN(C438) - 5)</f>
        <v/>
      </c>
    </row>
    <row r="439" ht="60" customHeight="1" s="79">
      <c r="A439" s="2" t="inlineStr">
        <is>
          <t>Projeto Lei</t>
        </is>
      </c>
      <c r="B439" s="4" t="n"/>
      <c r="C439" s="73" t="inlineStr">
        <is>
          <t>4910/2025</t>
        </is>
      </c>
      <c r="D439" s="2" t="inlineStr">
        <is>
          <t>DISPÕE NO ÂMBITO DO ESTADO DO RIO DE JANEIRO SOBRE A UTILIZAÇÃO DA PASSARELA PROFESSOR DARCY RIBEIRO  - SAMBÓDROMO  E DÁ OUTRAS PROVIDÊNCIAS</t>
        </is>
      </c>
      <c r="E439" s="2" t="inlineStr">
        <is>
          <t>DIONISIO LINS</t>
        </is>
      </c>
      <c r="F439" s="18" t="inlineStr">
        <is>
          <t>CARLOS MACEDO</t>
        </is>
      </c>
      <c r="G439" s="10" t="n"/>
      <c r="H439" s="10" t="n"/>
      <c r="I439" s="4" t="n"/>
      <c r="J439" s="9" t="n">
        <v>46149</v>
      </c>
      <c r="K439" s="9" t="n">
        <v>46168</v>
      </c>
      <c r="L439" s="4" t="n"/>
      <c r="M439" s="4" t="n"/>
      <c r="N439" s="4" t="n"/>
      <c r="O439" s="4" t="n"/>
      <c r="P439" s="4" t="n"/>
      <c r="Q439" s="12" t="inlineStr">
        <is>
          <t>Sim</t>
        </is>
      </c>
      <c r="R439" s="2" t="n"/>
      <c r="S439" s="4" t="n"/>
      <c r="T439" s="4" t="n"/>
      <c r="U439" s="7" t="n"/>
      <c r="V439" s="3" t="inlineStr">
        <is>
          <t>http://alerjln1.alerj.rj.gov.br/scpro2327.nsf/18c1dd68f96be3e7832566ec0018d833/cc1858b0ce09c98003258c49005e8d4d?OpenDocument</t>
        </is>
      </c>
      <c r="W439" s="3">
        <f>RIGHT(C439, 4)</f>
        <v/>
      </c>
      <c r="X439" s="3">
        <f>LEFT(C439, LEN(C439) - 5)</f>
        <v/>
      </c>
    </row>
    <row r="440" ht="45" customHeight="1" s="79">
      <c r="A440" s="2" t="inlineStr">
        <is>
          <t>Projeto Lei</t>
        </is>
      </c>
      <c r="B440" s="4" t="n"/>
      <c r="C440" s="73" t="inlineStr">
        <is>
          <t>561/2019</t>
        </is>
      </c>
      <c r="D440" s="2" t="inlineStr">
        <is>
          <t>DISPÕE SOBRE A TRANSPARÊNCIA DOS REGISTROS DA ÁREA DA SEGURANÇA PÚBLICA E DÁ OUTRAS PROVIDÊNCIAS.</t>
        </is>
      </c>
      <c r="E440" s="2" t="inlineStr">
        <is>
          <t>MÁRCIO CANELLA</t>
        </is>
      </c>
      <c r="F440" s="18" t="inlineStr">
        <is>
          <t>CARLOS MACEDO</t>
        </is>
      </c>
      <c r="G440" s="10" t="n"/>
      <c r="H440" s="10" t="n"/>
      <c r="I440" s="4" t="n"/>
      <c r="J440" s="9" t="n">
        <v>46154</v>
      </c>
      <c r="K440" s="9" t="n">
        <v>46168</v>
      </c>
      <c r="L440" s="4" t="n"/>
      <c r="M440" s="4" t="n"/>
      <c r="N440" s="4" t="n"/>
      <c r="O440" s="4" t="n"/>
      <c r="P440" s="4" t="n"/>
      <c r="Q440" s="12" t="inlineStr">
        <is>
          <t>Sim</t>
        </is>
      </c>
      <c r="R440" s="2" t="inlineStr">
        <is>
          <t>JÁ ESTAVA NO COZZOLINO QUANDO EU CADASTREI</t>
        </is>
      </c>
      <c r="S440" s="4" t="n"/>
      <c r="T440" s="4" t="n"/>
      <c r="U440" s="7" t="n"/>
      <c r="V440" s="3" t="inlineStr">
        <is>
          <t>http://alerjln1.alerj.rj.gov.br/scpro1923.nsf/18c1dd68f96be3e7832566ec0018d833/f2c22c14b58ac38d832583fc00509047?OpenDocument</t>
        </is>
      </c>
      <c r="W440" s="3">
        <f>RIGHT(C440, 4)</f>
        <v/>
      </c>
      <c r="X440" s="3">
        <f>LEFT(C440, LEN(C440) - 5)</f>
        <v/>
      </c>
    </row>
    <row r="441" ht="30" customHeight="1" s="79">
      <c r="A441" s="2" t="inlineStr">
        <is>
          <t>Projeto Lei</t>
        </is>
      </c>
      <c r="B441" s="4" t="n"/>
      <c r="C441" s="73" t="inlineStr">
        <is>
          <t>4803/2021</t>
        </is>
      </c>
      <c r="D441" s="2" t="inlineStr">
        <is>
          <t>DISPÕE SOBRE A IMPLANTAÇÃO DE ZOOPASSAGENS NO ESTADO DO RIO DE JANEIRO.</t>
        </is>
      </c>
      <c r="E441" s="2" t="inlineStr">
        <is>
          <t>GUSTAVO SCHMIDT</t>
        </is>
      </c>
      <c r="F441" s="18" t="inlineStr">
        <is>
          <t>ANDRÉ CORRÊA</t>
        </is>
      </c>
      <c r="G441" s="10" t="n"/>
      <c r="H441" s="10" t="n"/>
      <c r="I441" s="4" t="n"/>
      <c r="J441" s="9" t="n">
        <v>46154</v>
      </c>
      <c r="K441" s="9" t="n">
        <v>46168</v>
      </c>
      <c r="L441" s="4" t="n"/>
      <c r="M441" s="4" t="n"/>
      <c r="N441" s="4" t="n"/>
      <c r="O441" s="4" t="n"/>
      <c r="P441" s="4" t="n"/>
      <c r="Q441" s="12" t="inlineStr">
        <is>
          <t>Sim</t>
        </is>
      </c>
      <c r="R441" s="2" t="inlineStr">
        <is>
          <t>JÁ ESTAVA NO COZZOLINO QUANDO EU CADASTREI</t>
        </is>
      </c>
      <c r="S441" s="4" t="n"/>
      <c r="T441" s="4" t="n"/>
      <c r="U441" s="7" t="n"/>
      <c r="V441" s="3" t="inlineStr">
        <is>
          <t>http://alerjln1.alerj.rj.gov.br/scpro1923.nsf/18c1dd68f96be3e7832566ec0018d833/05e394a86cb99ab70325874400612d40?OpenDocument</t>
        </is>
      </c>
      <c r="W441" s="3">
        <f>RIGHT(C441, 4)</f>
        <v/>
      </c>
      <c r="X441" s="3">
        <f>LEFT(C441, LEN(C441) - 5)</f>
        <v/>
      </c>
    </row>
    <row r="442" ht="90" customHeight="1" s="79">
      <c r="A442" s="2" t="inlineStr">
        <is>
          <t>Projeto Lei</t>
        </is>
      </c>
      <c r="B442" s="4" t="n"/>
      <c r="C442" s="73" t="inlineStr">
        <is>
          <t>2630/2020</t>
        </is>
      </c>
      <c r="D442" s="2" t="inlineStr">
        <is>
          <t>AUTORIZA O PODER EXECUTIVO A CONVOCAR TODOS OS APROVADOS E EM CADASTRO DE RESERVA PARA PROVIMENTO DE CARGO DE OFICIAL DE CARTÓRIO POLICIAL DE 6ª CLASSE NO ÂMBITO DA POLÍCIA CIVIL DO ESTADO DO RIO DE JANEIRO REALIZADO NO ANO DE 2013, E DÁ OUTRAS PROVIDÊNCIAS</t>
        </is>
      </c>
      <c r="E442" s="2" t="inlineStr">
        <is>
          <t>RODRIGO AMORIM,BRUNO DAUAIRE</t>
        </is>
      </c>
      <c r="F442" s="18" t="inlineStr">
        <is>
          <t>GUSTAVO TUTUCA</t>
        </is>
      </c>
      <c r="G442" s="10" t="n"/>
      <c r="H442" s="10" t="n"/>
      <c r="I442" s="4" t="n"/>
      <c r="J442" s="9" t="n">
        <v>46154</v>
      </c>
      <c r="K442" s="9" t="n">
        <v>46168</v>
      </c>
      <c r="L442" s="4" t="n"/>
      <c r="M442" s="4" t="n"/>
      <c r="N442" s="4" t="n"/>
      <c r="O442" s="4" t="n"/>
      <c r="P442" s="4" t="n"/>
      <c r="Q442" s="12" t="inlineStr">
        <is>
          <t>Sim</t>
        </is>
      </c>
      <c r="R442" s="2" t="n"/>
      <c r="S442" s="4" t="n"/>
      <c r="T442" s="4" t="n"/>
      <c r="U442" s="7" t="n"/>
      <c r="V442" s="3" t="inlineStr">
        <is>
          <t>http://alerjln1.alerj.rj.gov.br/scpro1923.nsf/18c1dd68f96be3e7832566ec0018d833/dd8650c8ce4d42fd03258568005ef548?OpenDocument</t>
        </is>
      </c>
      <c r="W442" s="3">
        <f>RIGHT(C442, 4)</f>
        <v/>
      </c>
      <c r="X442" s="3">
        <f>LEFT(C442, LEN(C442) - 5)</f>
        <v/>
      </c>
    </row>
    <row r="443" ht="60" customHeight="1" s="79">
      <c r="A443" s="2" t="inlineStr">
        <is>
          <t>Projeto Lei</t>
        </is>
      </c>
      <c r="B443" s="4" t="n"/>
      <c r="C443" s="73" t="inlineStr">
        <is>
          <t>2529/2023</t>
        </is>
      </c>
      <c r="D443" s="2" t="inlineStr">
        <is>
          <t>ALTERA A LEI 10.159, DE 26 DE OUTUBRO DE 2023, QUE INSTITUI A VACINAÇÃO DÉCUPLA - V10 - OBRIGATÓRIA NOS CÃES  NO TERRITÓRIO DO ESTADO DO RIO DE JANEIRO E DÁ OUTRAS PROVIDÊNCIAS</t>
        </is>
      </c>
      <c r="E443" s="2" t="inlineStr">
        <is>
          <t>GIOVANI RATINHO,GUILHERME DELAROLI</t>
        </is>
      </c>
      <c r="F443" s="18" t="n"/>
      <c r="G443" s="10" t="n"/>
      <c r="H443" s="10" t="n"/>
      <c r="I443" s="4" t="n"/>
      <c r="J443" s="9" t="n">
        <v>46161</v>
      </c>
      <c r="K443" s="4" t="n"/>
      <c r="L443" s="4" t="n"/>
      <c r="M443" s="4" t="n"/>
      <c r="N443" s="4" t="n"/>
      <c r="O443" s="4" t="n"/>
      <c r="P443" s="4" t="n"/>
      <c r="Q443" s="12" t="inlineStr">
        <is>
          <t>Sim</t>
        </is>
      </c>
      <c r="R443" s="2" t="n"/>
      <c r="S443" s="4" t="n"/>
      <c r="T443" s="4" t="n"/>
      <c r="U443" s="7" t="n"/>
      <c r="V443" s="3" t="inlineStr">
        <is>
          <t>http://alerjln1.alerj.rj.gov.br/scpro2327.nsf/18c1dd68f96be3e7832566ec0018d833/1f2e32518bdbf4b003258a5a0070d3b7?OpenDocument</t>
        </is>
      </c>
      <c r="W443" s="3">
        <f>RIGHT(C443, 4)</f>
        <v/>
      </c>
      <c r="X443" s="3">
        <f>LEFT(C443, LEN(C443) - 5)</f>
        <v/>
      </c>
    </row>
    <row r="444" ht="90" customHeight="1" s="79">
      <c r="A444" s="2" t="inlineStr">
        <is>
          <t>Projeto Lei</t>
        </is>
      </c>
      <c r="B444" s="4" t="n"/>
      <c r="C444" s="73" t="inlineStr">
        <is>
          <t>6434/2025</t>
        </is>
      </c>
      <c r="D444" s="2" t="inlineStr">
        <is>
          <t>INSTITUI AS NORMAS DE COMERCIALIZAÇÃO DE RAÇÕES A GRANEL DESTINADAS À ALIMENTAÇÃO ANIMAL, REGULAMENTANDO CRITÉRIOS DE PESAGEM, VALIDADE, EXPOSIÇÃO E MANISEIO DOS ESTABELECIMENTOS COMERCIAIS DO ESTADO DO RIO DE JANEIRO.</t>
        </is>
      </c>
      <c r="E444" s="2" t="inlineStr">
        <is>
          <t>BRUNO ALVES BOARETTO</t>
        </is>
      </c>
      <c r="F444" s="18" t="n"/>
      <c r="G444" s="10" t="n"/>
      <c r="H444" s="10" t="n"/>
      <c r="I444" s="4" t="n"/>
      <c r="J444" s="9" t="n">
        <v>46161</v>
      </c>
      <c r="K444" s="4" t="n"/>
      <c r="L444" s="4" t="n"/>
      <c r="M444" s="4" t="n"/>
      <c r="N444" s="4" t="n"/>
      <c r="O444" s="4" t="n"/>
      <c r="P444" s="4" t="n"/>
      <c r="Q444" s="12" t="inlineStr">
        <is>
          <t>Sim</t>
        </is>
      </c>
      <c r="R444" s="2" t="n"/>
      <c r="S444" s="4" t="n"/>
      <c r="T444" s="4" t="n"/>
      <c r="U444" s="7" t="n"/>
      <c r="V444" s="3" t="inlineStr">
        <is>
          <t>http://alerjln1.alerj.rj.gov.br/scpro2327.nsf/18c1dd68f96be3e7832566ec0018d833/502033e49fc2219103258d16004cfefe?OpenDocument</t>
        </is>
      </c>
      <c r="W444" s="3">
        <f>RIGHT(C444, 4)</f>
        <v/>
      </c>
      <c r="X444" s="3">
        <f>LEFT(C444, LEN(C444) - 5)</f>
        <v/>
      </c>
    </row>
    <row r="445" ht="60" customHeight="1" s="79">
      <c r="A445" s="2" t="inlineStr">
        <is>
          <t>Projeto Lei</t>
        </is>
      </c>
      <c r="B445" s="4" t="n"/>
      <c r="C445" s="73" t="inlineStr">
        <is>
          <t>EP 3438/2020</t>
        </is>
      </c>
      <c r="D445" s="2" t="inlineStr">
        <is>
          <t>DISPÕE SOBRE A POLÍTICA ESTADUAL DE CONSCIENTIZAÇÃO E INFORMAÇÃO SOBRE A HEMOFILIA NO ÂMBITO DO ESTADO DO RIO DE JANEIRO E DÁ OUTRAS PROVIDÊNCIAS.</t>
        </is>
      </c>
      <c r="E445" s="2" t="inlineStr">
        <is>
          <t>DANNIEL LIBRELON</t>
        </is>
      </c>
      <c r="F445" s="18" t="n"/>
      <c r="G445" s="10" t="n"/>
      <c r="H445" s="10" t="n"/>
      <c r="I445" s="4" t="n"/>
      <c r="J445" s="9" t="n">
        <v>46169</v>
      </c>
      <c r="K445" s="4" t="n"/>
      <c r="L445" s="4" t="n"/>
      <c r="M445" s="4" t="n"/>
      <c r="N445" s="4" t="n"/>
      <c r="O445" s="4" t="n"/>
      <c r="P445" s="4" t="n"/>
      <c r="Q445" s="12" t="inlineStr">
        <is>
          <t>Sim</t>
        </is>
      </c>
      <c r="R445" s="2" t="n"/>
      <c r="S445" s="4" t="n"/>
      <c r="T445" s="4" t="n"/>
      <c r="U445" s="7" t="n"/>
      <c r="V445" s="3" t="inlineStr">
        <is>
          <t>http://alerjln1.alerj.rj.gov.br/scpro1923.nsf/18c1dd68f96be3e7832566ec0018d833/9a440bc50e65be9c03258638006047e7?OpenDocument</t>
        </is>
      </c>
      <c r="W445" s="3">
        <f>RIGHT(C445, 4)</f>
        <v/>
      </c>
      <c r="X445" s="3">
        <f>LEFT(C445, LEN(C445) - 5)</f>
        <v/>
      </c>
    </row>
    <row r="446" ht="45" customHeight="1" s="79">
      <c r="A446" s="2" t="inlineStr">
        <is>
          <t>Projeto Lei</t>
        </is>
      </c>
      <c r="B446" s="4" t="n"/>
      <c r="C446" s="73" t="inlineStr">
        <is>
          <t>EP 4677/2021</t>
        </is>
      </c>
      <c r="D446" s="2" t="inlineStr">
        <is>
          <t>ALTERA A LEI Nº 7.578 DE 15 DE MAIO DE 2017, QUE “DISPÕE SOBRE A PRÁTICA DE EDUCAÇÃO FÍSICA ADAPTADA”, NA FORMA QUE MENCIONA.</t>
        </is>
      </c>
      <c r="E446" s="2" t="inlineStr">
        <is>
          <t>DANNIEL LIBRELON</t>
        </is>
      </c>
      <c r="F446" s="18" t="n"/>
      <c r="G446" s="10" t="n"/>
      <c r="H446" s="10" t="n"/>
      <c r="I446" s="4" t="n"/>
      <c r="J446" s="9" t="n">
        <v>46169</v>
      </c>
      <c r="K446" s="4" t="n"/>
      <c r="L446" s="4" t="n"/>
      <c r="M446" s="4" t="n"/>
      <c r="N446" s="4" t="n"/>
      <c r="O446" s="4" t="n"/>
      <c r="P446" s="4" t="n"/>
      <c r="Q446" s="12" t="inlineStr">
        <is>
          <t>Sim</t>
        </is>
      </c>
      <c r="R446" s="2" t="n"/>
      <c r="S446" s="4" t="n"/>
      <c r="T446" s="4" t="n"/>
      <c r="U446" s="7" t="n"/>
      <c r="V446" s="3" t="inlineStr">
        <is>
          <t>http://alerjln1.alerj.rj.gov.br/scpro1923.nsf/18c1dd68f96be3e7832566ec0018d833/1859e8561a20a36303258736004e48f8?OpenDocument</t>
        </is>
      </c>
      <c r="W446" s="3">
        <f>RIGHT(C446, 4)</f>
        <v/>
      </c>
      <c r="X446" s="3">
        <f>LEFT(C446, LEN(C446) - 5)</f>
        <v/>
      </c>
    </row>
    <row r="447" ht="45" customHeight="1" s="79">
      <c r="A447" s="2" t="inlineStr">
        <is>
          <t>Projeto Lei</t>
        </is>
      </c>
      <c r="B447" s="4" t="n"/>
      <c r="C447" s="73" t="inlineStr">
        <is>
          <t>5178/2025</t>
        </is>
      </c>
      <c r="D447" s="2" t="inlineStr">
        <is>
          <t>ALTERA A LEI Nº 10.392 DE 24 DE MAIO DE 2024 PARA INCLUIR A PREVISÃO DE TRATAMENTO POS CIRURGICO PARA QUEM SOFRE DE FISSURA LABIAL</t>
        </is>
      </c>
      <c r="E447" s="2" t="inlineStr">
        <is>
          <t>LUCINHA</t>
        </is>
      </c>
      <c r="F447" s="18" t="n"/>
      <c r="G447" s="10" t="n"/>
      <c r="H447" s="10" t="n"/>
      <c r="I447" s="4" t="n"/>
      <c r="J447" s="9" t="n">
        <v>46169</v>
      </c>
      <c r="K447" s="4" t="n"/>
      <c r="L447" s="4" t="n"/>
      <c r="M447" s="4" t="n"/>
      <c r="N447" s="4" t="n"/>
      <c r="O447" s="4" t="n"/>
      <c r="P447" s="4" t="n"/>
      <c r="Q447" s="12" t="inlineStr">
        <is>
          <t>Sim</t>
        </is>
      </c>
      <c r="R447" s="2" t="n"/>
      <c r="S447" s="4" t="n"/>
      <c r="T447" s="4" t="n"/>
      <c r="U447" s="7" t="n"/>
      <c r="V447" s="3" t="inlineStr">
        <is>
          <t>http://alerjln1.alerj.rj.gov.br/scpro2327.nsf/18c1dd68f96be3e7832566ec0018d833/25556aab014206cd03258c66005625c3?OpenDocument</t>
        </is>
      </c>
      <c r="W447" s="3">
        <f>RIGHT(C447, 4)</f>
        <v/>
      </c>
      <c r="X447" s="3">
        <f>LEFT(C447, LEN(C447) - 5)</f>
        <v/>
      </c>
    </row>
    <row r="448" ht="60" customHeight="1" s="79">
      <c r="A448" s="2" t="inlineStr">
        <is>
          <t>Projeto Lei</t>
        </is>
      </c>
      <c r="B448" s="4" t="n"/>
      <c r="C448" s="73" t="inlineStr">
        <is>
          <t>6101/2025</t>
        </is>
      </c>
      <c r="D448" s="2" t="inlineStr">
        <is>
          <t>DISPÕE SOBRE A POLÍTICA ESTADUAL DE CONSCIENTIZAÇÃO E INFORMAÇÃO SOBRE HEMANGIOMA NO ÂMBITO DO ESTADO DO RIO DE JANEIRO.</t>
        </is>
      </c>
      <c r="E448" s="2" t="inlineStr">
        <is>
          <t>INDIA ARMELAU</t>
        </is>
      </c>
      <c r="F448" s="18" t="n"/>
      <c r="G448" s="10" t="n"/>
      <c r="H448" s="10" t="n"/>
      <c r="I448" s="4" t="n"/>
      <c r="J448" s="9" t="n">
        <v>46169</v>
      </c>
      <c r="K448" s="4" t="n"/>
      <c r="L448" s="4" t="n"/>
      <c r="M448" s="4" t="n"/>
      <c r="N448" s="4" t="n"/>
      <c r="O448" s="4" t="n"/>
      <c r="P448" s="4" t="n"/>
      <c r="Q448" s="12" t="inlineStr">
        <is>
          <t>Sim</t>
        </is>
      </c>
      <c r="R448" s="2" t="n"/>
      <c r="S448" s="4" t="n"/>
      <c r="T448" s="4" t="n"/>
      <c r="U448" s="7" t="n"/>
      <c r="V448" s="3" t="inlineStr">
        <is>
          <t>http://alerjln1.alerj.rj.gov.br/scpro2327.nsf/18c1dd68f96be3e7832566ec0018d833/802284ebe50708d703258cee005de90f?OpenDocument</t>
        </is>
      </c>
      <c r="W448" s="3">
        <f>RIGHT(C448, 4)</f>
        <v/>
      </c>
      <c r="X448" s="3">
        <f>LEFT(C448, LEN(C448) - 5)</f>
        <v/>
      </c>
    </row>
    <row r="449" ht="60" customHeight="1" s="79">
      <c r="A449" s="2" t="inlineStr">
        <is>
          <t>Projeto Lei</t>
        </is>
      </c>
      <c r="B449" s="4" t="n"/>
      <c r="C449" s="73" t="inlineStr">
        <is>
          <t>6804/2025</t>
        </is>
      </c>
      <c r="D449" s="2" t="inlineStr">
        <is>
          <t>DISPÕE SOBRE A CRIAÇÃO DA CARTEIRA DE IDENTIFICAÇÃO DO PACIENTE ONCOLÓGICO NO ÂMBITO DO ESTADO DO RIO DE JANEIRO – E DÁ OUTRAS PROVIDÊNCIAS.</t>
        </is>
      </c>
      <c r="E449" s="2" t="inlineStr">
        <is>
          <t>SARAH PONCIO</t>
        </is>
      </c>
      <c r="F449" s="18" t="n"/>
      <c r="G449" s="10" t="n"/>
      <c r="H449" s="10" t="n"/>
      <c r="I449" s="4" t="n"/>
      <c r="J449" s="9" t="n">
        <v>46169</v>
      </c>
      <c r="K449" s="4" t="n"/>
      <c r="L449" s="4" t="n"/>
      <c r="M449" s="4" t="n"/>
      <c r="N449" s="4" t="n"/>
      <c r="O449" s="4" t="n"/>
      <c r="P449" s="4" t="n"/>
      <c r="Q449" s="12" t="inlineStr">
        <is>
          <t>Sim</t>
        </is>
      </c>
      <c r="R449" s="2" t="n"/>
      <c r="S449" s="4" t="n"/>
      <c r="T449" s="4" t="n"/>
      <c r="U449" s="7" t="n"/>
      <c r="V449" s="3" t="inlineStr">
        <is>
          <t>http://alerjln1.alerj.rj.gov.br/scpro2327.nsf/18c1dd68f96be3e7832566ec0018d833/921d2dc368dece9f03258d4e006b8242?OpenDocument</t>
        </is>
      </c>
      <c r="W449" s="3">
        <f>RIGHT(C449, 4)</f>
        <v/>
      </c>
      <c r="X449" s="3">
        <f>LEFT(C449, LEN(C449) - 5)</f>
        <v/>
      </c>
    </row>
    <row r="450" ht="105" customHeight="1" s="79">
      <c r="A450" s="2" t="inlineStr">
        <is>
          <t>Projeto Lei</t>
        </is>
      </c>
      <c r="B450" s="4" t="n">
        <v>14</v>
      </c>
      <c r="C450" s="73" t="inlineStr">
        <is>
          <t>EP 5456/2022</t>
        </is>
      </c>
      <c r="D450" s="2" t="inlineStr">
        <is>
          <t>DISPÕE SOBRE MEDIDAS DE CONSCIENTIZAÇÃO A RESPEITO DA IMPORTÂNCIA DA DOAÇÃO DE ÓRGÃOS E DE TECIDOS PARA TRANSPLANTE NAS ESCOLAS PÚBLICAS E PRIVADAS DE ENSINO FUNDAMENTAL E MÉDIO NO ESTADO DE RIO DE JANEIRO.</t>
        </is>
      </c>
      <c r="E450" s="2" t="inlineStr">
        <is>
          <t>MARTHA ROCHA</t>
        </is>
      </c>
      <c r="F450" s="18" t="inlineStr">
        <is>
          <t>CARLOS MACEDO</t>
        </is>
      </c>
      <c r="G450" s="10" t="inlineStr">
        <is>
          <t>FAVORÁVEL ÀS EMENDAS 1 E 2, CONCLUINDO POR SUBSTITUTIVO DA COMISSÃO DE CONSTITUIÇÃO E JUSTIÇA</t>
        </is>
      </c>
      <c r="H450" s="10" t="n"/>
      <c r="I450" s="4" t="inlineStr">
        <is>
          <t>PRÓXIMA</t>
        </is>
      </c>
      <c r="J450" s="9" t="n">
        <v>46169</v>
      </c>
      <c r="K450" s="9" t="n">
        <v>46169</v>
      </c>
      <c r="L450" s="9" t="n">
        <v>46169</v>
      </c>
      <c r="M450" s="4" t="n"/>
      <c r="N450" s="4" t="n"/>
      <c r="O450" s="4" t="n"/>
      <c r="P450" s="4" t="n"/>
      <c r="Q450" s="12" t="inlineStr">
        <is>
          <t>Sim</t>
        </is>
      </c>
      <c r="R450" s="2" t="inlineStr">
        <is>
          <t>Não estava cadastrado na planilha. Deve ser do tempo da ADA.</t>
        </is>
      </c>
      <c r="S450" s="4" t="n"/>
      <c r="T450" s="4" t="n"/>
      <c r="U450" s="7" t="n"/>
      <c r="V450" s="3" t="inlineStr">
        <is>
          <t>http://alerjln1.alerj.rj.gov.br/scpro1923.nsf/18c1dd68f96be3e7832566ec0018d833/69bdd3d683de1113032587f0005395c9?OpenDocument</t>
        </is>
      </c>
      <c r="W450" s="3">
        <f>RIGHT(C450, 4)</f>
        <v/>
      </c>
      <c r="X450" s="3">
        <f>LEFT(C450, LEN(C450) - 5)</f>
        <v/>
      </c>
    </row>
    <row r="451" ht="90" customHeight="1" s="79">
      <c r="A451" s="2" t="inlineStr">
        <is>
          <t>Projeto Lei</t>
        </is>
      </c>
      <c r="B451" s="4" t="n">
        <v>13</v>
      </c>
      <c r="C451" s="73" t="inlineStr">
        <is>
          <t>4888/2021</t>
        </is>
      </c>
      <c r="D451" s="2" t="inlineStr">
        <is>
          <t>AUTORIZA O PODER EXECUTIVO A CONVOCAR OS APROVADOS NO CERTAME, REALIZADO NO ANO DE 2013, NOS CARGOS QUE NECESSITAR SUPRIR AS VACÂNCIAS DE NÍVEL SUPERIOR E DE NÍVEL MÉDIO, COM LOTAÇÃO NO INSTITUTO ESTADUAL DO AMBIENTE (INEA), E DÁ OUTRAS PROVIDÊNCIAS.</t>
        </is>
      </c>
      <c r="E451" s="2" t="inlineStr">
        <is>
          <t>MARTHA ROCHA</t>
        </is>
      </c>
      <c r="F451" s="18" t="inlineStr">
        <is>
          <t>CARLOS MACEDO</t>
        </is>
      </c>
      <c r="G451" s="10" t="inlineStr">
        <is>
          <t>CONTRÁRIO</t>
        </is>
      </c>
      <c r="H451" s="10" t="n"/>
      <c r="I451" s="4" t="inlineStr">
        <is>
          <t>PRÓXIMA</t>
        </is>
      </c>
      <c r="J451" s="9" t="n">
        <v>46169</v>
      </c>
      <c r="K451" s="9" t="n">
        <v>46169</v>
      </c>
      <c r="L451" s="9" t="n">
        <v>46169</v>
      </c>
      <c r="M451" s="4" t="n"/>
      <c r="N451" s="4" t="n"/>
      <c r="O451" s="4" t="n"/>
      <c r="P451" s="4" t="n"/>
      <c r="Q451" s="12" t="inlineStr">
        <is>
          <t>Sim</t>
        </is>
      </c>
      <c r="R451" s="2" t="inlineStr">
        <is>
          <t>Não estava cadastrado na planilha. Deve ser do tempo da ADA.</t>
        </is>
      </c>
      <c r="S451" s="4" t="n"/>
      <c r="T451" s="4" t="n"/>
      <c r="U451" s="7" t="n"/>
      <c r="V451" s="3" t="inlineStr">
        <is>
          <t>http://alerjln1.alerj.rj.gov.br/scpro1923.nsf/18c1dd68f96be3e7832566ec0018d833/975758ecab1bede003258758005cc54d?OpenDocument</t>
        </is>
      </c>
      <c r="W451" s="3">
        <f>RIGHT(C451, 4)</f>
        <v/>
      </c>
      <c r="X451" s="3">
        <f>LEFT(C451, LEN(C451) - 5)</f>
        <v/>
      </c>
    </row>
    <row r="452" ht="90" customHeight="1" s="79">
      <c r="A452" s="2" t="inlineStr">
        <is>
          <t>Projeto Lei</t>
        </is>
      </c>
      <c r="B452" s="4" t="n">
        <v>12</v>
      </c>
      <c r="C452" s="73" t="inlineStr">
        <is>
          <t>4837/2021</t>
        </is>
      </c>
      <c r="D452" s="2" t="inlineStr">
        <is>
          <t>DISPÕE SOBRE A OBRIGATORIEDADE DE OS ESTABELECIMENTOS PÚBLICOS E PRIVADOS UTILIZAREM VIGILANTES OU AGENTES FEMININOS DE SEGURANÇA PRIVADA QUANDO DA REALIZAÇÃO DE PROCEDIMENTOS DE SEGURANÇA QUE EXISTAM REVISTAS EM MULHERES, E DÁ OUTRAS PROVIDÊNCIAS</t>
        </is>
      </c>
      <c r="E452" s="2" t="inlineStr">
        <is>
          <t>MARTHA ROCHA</t>
        </is>
      </c>
      <c r="F452" s="18" t="inlineStr">
        <is>
          <t>CARLOS MACEDO</t>
        </is>
      </c>
      <c r="G452" s="10" t="inlineStr">
        <is>
          <t>FAVORÁVEL COM ÀS EMENDAS DA COMISSÃO DE CONSTITUIÇÃO E JUSTIÇA</t>
        </is>
      </c>
      <c r="H452" s="10" t="n"/>
      <c r="I452" s="4" t="inlineStr">
        <is>
          <t>PRÓXIMA</t>
        </is>
      </c>
      <c r="J452" s="9" t="n">
        <v>46169</v>
      </c>
      <c r="K452" s="9" t="n">
        <v>46169</v>
      </c>
      <c r="L452" s="9" t="n">
        <v>46169</v>
      </c>
      <c r="M452" s="4" t="n"/>
      <c r="N452" s="4" t="n"/>
      <c r="O452" s="4" t="n"/>
      <c r="P452" s="4" t="n"/>
      <c r="Q452" s="12" t="inlineStr">
        <is>
          <t>Sim</t>
        </is>
      </c>
      <c r="R452" s="2" t="inlineStr">
        <is>
          <t>Não estava cadastrado na planilha. Deve ser do tempo da ADA.</t>
        </is>
      </c>
      <c r="S452" s="4" t="n"/>
      <c r="T452" s="4" t="n"/>
      <c r="U452" s="7" t="n"/>
      <c r="V452" s="3" t="inlineStr">
        <is>
          <t>http://alerjln1.alerj.rj.gov.br/scpro1923.nsf/18c1dd68f96be3e7832566ec0018d833/4463199453b500d20325874a00676f62?OpenDocument</t>
        </is>
      </c>
      <c r="W452" s="3">
        <f>RIGHT(C452, 4)</f>
        <v/>
      </c>
      <c r="X452" s="3">
        <f>LEFT(C452, LEN(C452) - 5)</f>
        <v/>
      </c>
    </row>
    <row r="453">
      <c r="A453" s="2" t="inlineStr">
        <is>
          <t>Projeto Lei</t>
        </is>
      </c>
      <c r="B453" s="4" t="n"/>
      <c r="C453" s="2" t="n"/>
      <c r="D453" s="2" t="n"/>
      <c r="E453" s="2" t="n"/>
      <c r="F453" s="18" t="n"/>
      <c r="G453" s="10" t="n"/>
      <c r="H453" s="10" t="n"/>
      <c r="I453" s="4" t="n"/>
      <c r="J453" s="9" t="n"/>
      <c r="K453" s="4" t="n"/>
      <c r="L453" s="4" t="n"/>
      <c r="M453" s="4" t="n"/>
      <c r="N453" s="4" t="n"/>
      <c r="O453" s="4" t="n"/>
      <c r="P453" s="4" t="n"/>
      <c r="Q453" s="12" t="n"/>
      <c r="R453" s="2" t="n"/>
      <c r="S453" s="4" t="n"/>
      <c r="T453" s="4" t="n"/>
      <c r="U453" s="7" t="n"/>
      <c r="V453" s="3" t="n"/>
      <c r="W453" s="3">
        <f>RIGHT(C453, 4)</f>
        <v/>
      </c>
      <c r="X453" s="3">
        <f>LEFT(C453, LEN(C453) - 5)</f>
        <v/>
      </c>
    </row>
    <row r="454">
      <c r="A454" s="2" t="inlineStr">
        <is>
          <t>Projeto Lei</t>
        </is>
      </c>
      <c r="B454" s="4" t="n"/>
      <c r="C454" s="2" t="n"/>
      <c r="D454" s="2" t="n"/>
      <c r="E454" s="2" t="n"/>
      <c r="F454" s="18" t="n"/>
      <c r="G454" s="10" t="n"/>
      <c r="H454" s="10" t="n"/>
      <c r="I454" s="4" t="n"/>
      <c r="J454" s="9" t="n"/>
      <c r="K454" s="4" t="n"/>
      <c r="L454" s="4" t="n"/>
      <c r="M454" s="4" t="n"/>
      <c r="N454" s="4" t="n"/>
      <c r="O454" s="4" t="n"/>
      <c r="P454" s="4" t="n"/>
      <c r="Q454" s="12" t="n"/>
      <c r="R454" s="2" t="n"/>
      <c r="S454" s="4" t="n"/>
      <c r="T454" s="4" t="n"/>
      <c r="U454" s="7" t="n"/>
      <c r="V454" s="3" t="n"/>
      <c r="W454" s="3">
        <f>RIGHT(C454, 4)</f>
        <v/>
      </c>
      <c r="X454" s="3">
        <f>LEFT(C454, LEN(C454) - 5)</f>
        <v/>
      </c>
    </row>
    <row r="455">
      <c r="A455" s="2" t="inlineStr">
        <is>
          <t>Projeto Lei</t>
        </is>
      </c>
      <c r="B455" s="4" t="n"/>
      <c r="C455" s="2" t="n"/>
      <c r="D455" s="2" t="n"/>
      <c r="E455" s="2" t="n"/>
      <c r="F455" s="18" t="n"/>
      <c r="G455" s="10" t="n"/>
      <c r="H455" s="10" t="n"/>
      <c r="I455" s="4" t="n"/>
      <c r="J455" s="9" t="n"/>
      <c r="K455" s="4" t="n"/>
      <c r="L455" s="4" t="n"/>
      <c r="M455" s="4" t="n"/>
      <c r="N455" s="4" t="n"/>
      <c r="O455" s="4" t="n"/>
      <c r="P455" s="4" t="n"/>
      <c r="Q455" s="12" t="n"/>
      <c r="R455" s="2" t="n"/>
      <c r="S455" s="4" t="n"/>
      <c r="T455" s="4" t="n"/>
      <c r="U455" s="7" t="n"/>
      <c r="V455" s="3" t="n"/>
      <c r="W455" s="3">
        <f>RIGHT(C455, 4)</f>
        <v/>
      </c>
      <c r="X455" s="3">
        <f>LEFT(C455, LEN(C455) - 5)</f>
        <v/>
      </c>
    </row>
    <row r="456">
      <c r="A456" s="2" t="inlineStr">
        <is>
          <t>Projeto Lei</t>
        </is>
      </c>
      <c r="B456" s="4" t="n"/>
      <c r="C456" s="2" t="n"/>
      <c r="D456" s="2" t="n"/>
      <c r="E456" s="2" t="n"/>
      <c r="F456" s="18" t="n"/>
      <c r="G456" s="10" t="n"/>
      <c r="H456" s="10" t="n"/>
      <c r="I456" s="4" t="n"/>
      <c r="J456" s="9" t="n"/>
      <c r="K456" s="4" t="n"/>
      <c r="L456" s="4" t="n"/>
      <c r="M456" s="4" t="n"/>
      <c r="N456" s="4" t="n"/>
      <c r="O456" s="4" t="n"/>
      <c r="P456" s="4" t="n"/>
      <c r="Q456" s="12" t="n"/>
      <c r="R456" s="2" t="n"/>
      <c r="S456" s="4" t="n"/>
      <c r="T456" s="4" t="n"/>
      <c r="U456" s="7" t="n"/>
      <c r="V456" s="3" t="n"/>
      <c r="W456" s="3">
        <f>RIGHT(C456, 4)</f>
        <v/>
      </c>
      <c r="X456" s="3">
        <f>LEFT(C456, LEN(C456) - 5)</f>
        <v/>
      </c>
    </row>
    <row r="457">
      <c r="A457" s="2" t="inlineStr">
        <is>
          <t>Projeto Lei</t>
        </is>
      </c>
      <c r="B457" s="4" t="n"/>
      <c r="C457" s="2" t="n"/>
      <c r="D457" s="2" t="n"/>
      <c r="E457" s="2" t="n"/>
      <c r="F457" s="18" t="n"/>
      <c r="G457" s="10" t="n"/>
      <c r="H457" s="10" t="n"/>
      <c r="I457" s="4" t="n"/>
      <c r="J457" s="9" t="n"/>
      <c r="K457" s="4" t="n"/>
      <c r="L457" s="4" t="n"/>
      <c r="M457" s="4" t="n"/>
      <c r="N457" s="4" t="n"/>
      <c r="O457" s="4" t="n"/>
      <c r="P457" s="4" t="n"/>
      <c r="Q457" s="12" t="n"/>
      <c r="R457" s="2" t="n"/>
      <c r="S457" s="4" t="n"/>
      <c r="T457" s="4" t="n"/>
      <c r="U457" s="7" t="n"/>
      <c r="V457" s="3" t="n"/>
      <c r="W457" s="3">
        <f>RIGHT(C457, 4)</f>
        <v/>
      </c>
      <c r="X457" s="3">
        <f>LEFT(C457, LEN(C457) - 5)</f>
        <v/>
      </c>
    </row>
    <row r="458">
      <c r="A458" s="2" t="inlineStr">
        <is>
          <t>Projeto Lei</t>
        </is>
      </c>
      <c r="B458" s="4" t="n"/>
      <c r="C458" s="2" t="n"/>
      <c r="D458" s="2" t="n"/>
      <c r="E458" s="2" t="n"/>
      <c r="F458" s="18" t="n"/>
      <c r="G458" s="10" t="n"/>
      <c r="H458" s="10" t="n"/>
      <c r="I458" s="4" t="n"/>
      <c r="J458" s="9" t="n"/>
      <c r="K458" s="4" t="n"/>
      <c r="L458" s="4" t="n"/>
      <c r="M458" s="4" t="n"/>
      <c r="N458" s="4" t="n"/>
      <c r="O458" s="4" t="n"/>
      <c r="P458" s="4" t="n"/>
      <c r="Q458" s="12" t="n"/>
      <c r="R458" s="2" t="n"/>
      <c r="S458" s="4" t="n"/>
      <c r="T458" s="4" t="n"/>
      <c r="U458" s="7" t="n"/>
      <c r="V458" s="3" t="n"/>
      <c r="W458" s="3">
        <f>RIGHT(C458, 4)</f>
        <v/>
      </c>
      <c r="X458" s="3">
        <f>LEFT(C458, LEN(C458) - 5)</f>
        <v/>
      </c>
    </row>
    <row r="459">
      <c r="A459" s="2" t="inlineStr">
        <is>
          <t>Projeto Lei</t>
        </is>
      </c>
      <c r="B459" s="4" t="n"/>
      <c r="C459" s="2" t="n"/>
      <c r="D459" s="2" t="n"/>
      <c r="E459" s="2" t="n"/>
      <c r="F459" s="18" t="n"/>
      <c r="G459" s="10" t="n"/>
      <c r="H459" s="10" t="n"/>
      <c r="I459" s="4" t="n"/>
      <c r="J459" s="9" t="n"/>
      <c r="K459" s="4" t="n"/>
      <c r="L459" s="4" t="n"/>
      <c r="M459" s="4" t="n"/>
      <c r="N459" s="4" t="n"/>
      <c r="O459" s="4" t="n"/>
      <c r="P459" s="4" t="n"/>
      <c r="Q459" s="12" t="n"/>
      <c r="R459" s="2" t="n"/>
      <c r="S459" s="4" t="n"/>
      <c r="T459" s="4" t="n"/>
      <c r="U459" s="7" t="n"/>
      <c r="V459" s="3" t="n"/>
      <c r="W459" s="3">
        <f>RIGHT(C459, 4)</f>
        <v/>
      </c>
      <c r="X459" s="3">
        <f>LEFT(C459, LEN(C459) - 5)</f>
        <v/>
      </c>
    </row>
    <row r="460">
      <c r="A460" s="2" t="inlineStr">
        <is>
          <t>Projeto Lei</t>
        </is>
      </c>
      <c r="B460" s="4" t="n"/>
      <c r="C460" s="2" t="n"/>
      <c r="D460" s="2" t="n"/>
      <c r="E460" s="2" t="n"/>
      <c r="F460" s="18" t="n"/>
      <c r="G460" s="10" t="n"/>
      <c r="H460" s="10" t="n"/>
      <c r="I460" s="4" t="n"/>
      <c r="J460" s="9" t="n"/>
      <c r="K460" s="4" t="n"/>
      <c r="L460" s="4" t="n"/>
      <c r="M460" s="4" t="n"/>
      <c r="N460" s="4" t="n"/>
      <c r="O460" s="4" t="n"/>
      <c r="P460" s="4" t="n"/>
      <c r="Q460" s="12" t="n"/>
      <c r="R460" s="2" t="n"/>
      <c r="S460" s="4" t="n"/>
      <c r="T460" s="4" t="n"/>
      <c r="U460" s="7" t="n"/>
      <c r="V460" s="3" t="n"/>
      <c r="W460" s="3">
        <f>RIGHT(C460, 4)</f>
        <v/>
      </c>
      <c r="X460" s="3">
        <f>LEFT(C460, LEN(C460) - 5)</f>
        <v/>
      </c>
    </row>
    <row r="461">
      <c r="A461" s="2" t="inlineStr">
        <is>
          <t>Projeto Lei</t>
        </is>
      </c>
      <c r="B461" s="4" t="n"/>
      <c r="C461" s="2" t="n"/>
      <c r="D461" s="2" t="n"/>
      <c r="E461" s="2" t="n"/>
      <c r="F461" s="18" t="n"/>
      <c r="G461" s="10" t="n"/>
      <c r="H461" s="10" t="n"/>
      <c r="I461" s="4" t="n"/>
      <c r="J461" s="9" t="n"/>
      <c r="K461" s="4" t="n"/>
      <c r="L461" s="4" t="n"/>
      <c r="M461" s="4" t="n"/>
      <c r="N461" s="4" t="n"/>
      <c r="O461" s="4" t="n"/>
      <c r="P461" s="4" t="n"/>
      <c r="Q461" s="12" t="n"/>
      <c r="R461" s="2" t="n"/>
      <c r="S461" s="4" t="n"/>
      <c r="T461" s="4" t="n"/>
      <c r="U461" s="7" t="n"/>
      <c r="V461" s="3" t="n"/>
      <c r="W461" s="3">
        <f>RIGHT(C461, 4)</f>
        <v/>
      </c>
      <c r="X461" s="3">
        <f>LEFT(C461, LEN(C461) - 5)</f>
        <v/>
      </c>
    </row>
    <row r="462">
      <c r="A462" s="2" t="inlineStr">
        <is>
          <t>Projeto Lei</t>
        </is>
      </c>
      <c r="B462" s="4" t="n"/>
      <c r="C462" s="2" t="n"/>
      <c r="D462" s="2" t="n"/>
      <c r="E462" s="2" t="n"/>
      <c r="F462" s="18" t="n"/>
      <c r="G462" s="10" t="n"/>
      <c r="H462" s="10" t="n"/>
      <c r="I462" s="4" t="n"/>
      <c r="J462" s="9" t="n"/>
      <c r="K462" s="4" t="n"/>
      <c r="L462" s="4" t="n"/>
      <c r="M462" s="4" t="n"/>
      <c r="N462" s="4" t="n"/>
      <c r="O462" s="4" t="n"/>
      <c r="P462" s="4" t="n"/>
      <c r="Q462" s="12" t="n"/>
      <c r="R462" s="2" t="n"/>
      <c r="S462" s="4" t="n"/>
      <c r="T462" s="4" t="n"/>
      <c r="U462" s="7" t="n"/>
      <c r="V462" s="3" t="n"/>
      <c r="W462" s="3">
        <f>RIGHT(C462, 4)</f>
        <v/>
      </c>
      <c r="X462" s="3">
        <f>LEFT(C462, LEN(C462) - 5)</f>
        <v/>
      </c>
    </row>
    <row r="463">
      <c r="A463" s="2" t="inlineStr">
        <is>
          <t>Projeto Lei</t>
        </is>
      </c>
      <c r="B463" s="4" t="n"/>
      <c r="C463" s="2" t="n"/>
      <c r="D463" s="2" t="n"/>
      <c r="E463" s="2" t="n"/>
      <c r="F463" s="18" t="n"/>
      <c r="G463" s="10" t="n"/>
      <c r="H463" s="10" t="n"/>
      <c r="I463" s="4" t="n"/>
      <c r="J463" s="9" t="n"/>
      <c r="K463" s="4" t="n"/>
      <c r="L463" s="4" t="n"/>
      <c r="M463" s="4" t="n"/>
      <c r="N463" s="4" t="n"/>
      <c r="O463" s="4" t="n"/>
      <c r="P463" s="4" t="n"/>
      <c r="Q463" s="12" t="n"/>
      <c r="R463" s="2" t="n"/>
      <c r="S463" s="4" t="n"/>
      <c r="T463" s="4" t="n"/>
      <c r="U463" s="7" t="n"/>
      <c r="V463" s="3" t="n"/>
      <c r="W463" s="3">
        <f>RIGHT(C463, 4)</f>
        <v/>
      </c>
      <c r="X463" s="3">
        <f>LEFT(C463, LEN(C463) - 5)</f>
        <v/>
      </c>
    </row>
    <row r="464">
      <c r="A464" s="2" t="inlineStr">
        <is>
          <t>Projeto Lei</t>
        </is>
      </c>
      <c r="B464" s="4" t="n"/>
      <c r="C464" s="2" t="n"/>
      <c r="D464" s="2" t="n"/>
      <c r="E464" s="2" t="n"/>
      <c r="F464" s="18" t="n"/>
      <c r="G464" s="10" t="n"/>
      <c r="H464" s="10" t="n"/>
      <c r="I464" s="4" t="n"/>
      <c r="J464" s="9" t="n"/>
      <c r="K464" s="4" t="n"/>
      <c r="L464" s="4" t="n"/>
      <c r="M464" s="4" t="n"/>
      <c r="N464" s="4" t="n"/>
      <c r="O464" s="4" t="n"/>
      <c r="P464" s="4" t="n"/>
      <c r="Q464" s="12" t="n"/>
      <c r="R464" s="2" t="n"/>
      <c r="S464" s="4" t="n"/>
      <c r="T464" s="4" t="n"/>
      <c r="U464" s="7" t="n"/>
      <c r="V464" s="3" t="n"/>
      <c r="W464" s="3">
        <f>RIGHT(C464, 4)</f>
        <v/>
      </c>
      <c r="X464" s="3">
        <f>LEFT(C464, LEN(C464) - 5)</f>
        <v/>
      </c>
    </row>
    <row r="465">
      <c r="A465" s="2" t="inlineStr">
        <is>
          <t>Projeto Lei</t>
        </is>
      </c>
      <c r="B465" s="4" t="n"/>
      <c r="C465" s="2" t="n"/>
      <c r="D465" s="2" t="n"/>
      <c r="E465" s="2" t="n"/>
      <c r="F465" s="18" t="n"/>
      <c r="G465" s="10" t="n"/>
      <c r="H465" s="10" t="n"/>
      <c r="I465" s="4" t="n"/>
      <c r="J465" s="9" t="n"/>
      <c r="K465" s="4" t="n"/>
      <c r="L465" s="4" t="n"/>
      <c r="M465" s="4" t="n"/>
      <c r="N465" s="4" t="n"/>
      <c r="O465" s="4" t="n"/>
      <c r="P465" s="4" t="n"/>
      <c r="Q465" s="12" t="n"/>
      <c r="R465" s="2" t="n"/>
      <c r="S465" s="4" t="n"/>
      <c r="T465" s="4" t="n"/>
      <c r="U465" s="7" t="n"/>
      <c r="V465" s="3" t="n"/>
      <c r="W465" s="3">
        <f>RIGHT(C465, 4)</f>
        <v/>
      </c>
      <c r="X465" s="3">
        <f>LEFT(C465, LEN(C465) - 5)</f>
        <v/>
      </c>
    </row>
    <row r="466">
      <c r="A466" s="2" t="inlineStr">
        <is>
          <t>Projeto Lei</t>
        </is>
      </c>
      <c r="B466" s="4" t="n"/>
      <c r="C466" s="2" t="n"/>
      <c r="D466" s="2" t="n"/>
      <c r="E466" s="2" t="n"/>
      <c r="F466" s="18" t="n"/>
      <c r="G466" s="10" t="n"/>
      <c r="H466" s="10" t="n"/>
      <c r="I466" s="4" t="n"/>
      <c r="J466" s="9" t="n"/>
      <c r="K466" s="4" t="n"/>
      <c r="L466" s="4" t="n"/>
      <c r="M466" s="4" t="n"/>
      <c r="N466" s="4" t="n"/>
      <c r="O466" s="4" t="n"/>
      <c r="P466" s="4" t="n"/>
      <c r="Q466" s="12" t="n"/>
      <c r="R466" s="2" t="n"/>
      <c r="S466" s="4" t="n"/>
      <c r="T466" s="4" t="n"/>
      <c r="U466" s="7" t="n"/>
      <c r="V466" s="3" t="n"/>
      <c r="W466" s="3">
        <f>RIGHT(C466, 4)</f>
        <v/>
      </c>
      <c r="X466" s="3">
        <f>LEFT(C466, LEN(C466) - 5)</f>
        <v/>
      </c>
    </row>
    <row r="467">
      <c r="A467" s="2" t="inlineStr">
        <is>
          <t>Projeto Lei</t>
        </is>
      </c>
      <c r="B467" s="4" t="n"/>
      <c r="C467" s="2" t="n"/>
      <c r="D467" s="2" t="n"/>
      <c r="E467" s="2" t="n"/>
      <c r="F467" s="18" t="n"/>
      <c r="G467" s="10" t="n"/>
      <c r="H467" s="10" t="n"/>
      <c r="I467" s="4" t="n"/>
      <c r="J467" s="9" t="n"/>
      <c r="K467" s="4" t="n"/>
      <c r="L467" s="4" t="n"/>
      <c r="M467" s="4" t="n"/>
      <c r="N467" s="4" t="n"/>
      <c r="O467" s="4" t="n"/>
      <c r="P467" s="4" t="n"/>
      <c r="Q467" s="12" t="n"/>
      <c r="R467" s="2" t="n"/>
      <c r="S467" s="4" t="n"/>
      <c r="T467" s="4" t="n"/>
      <c r="U467" s="7" t="n"/>
      <c r="V467" s="3" t="n"/>
      <c r="W467" s="3">
        <f>RIGHT(C467, 4)</f>
        <v/>
      </c>
      <c r="X467" s="3">
        <f>LEFT(C467, LEN(C467) - 5)</f>
        <v/>
      </c>
    </row>
    <row r="468">
      <c r="A468" s="2" t="inlineStr">
        <is>
          <t>Projeto Lei</t>
        </is>
      </c>
      <c r="B468" s="4" t="n"/>
      <c r="C468" s="2" t="n"/>
      <c r="D468" s="2" t="n"/>
      <c r="E468" s="2" t="n"/>
      <c r="F468" s="18" t="n"/>
      <c r="G468" s="10" t="n"/>
      <c r="H468" s="10" t="n"/>
      <c r="I468" s="4" t="n"/>
      <c r="J468" s="9" t="n"/>
      <c r="K468" s="4" t="n"/>
      <c r="L468" s="4" t="n"/>
      <c r="M468" s="4" t="n"/>
      <c r="N468" s="4" t="n"/>
      <c r="O468" s="4" t="n"/>
      <c r="P468" s="4" t="n"/>
      <c r="Q468" s="12" t="n"/>
      <c r="R468" s="2" t="n"/>
      <c r="S468" s="4" t="n"/>
      <c r="T468" s="4" t="n"/>
      <c r="U468" s="7" t="n"/>
      <c r="V468" s="3" t="n"/>
      <c r="W468" s="3">
        <f>RIGHT(C468, 4)</f>
        <v/>
      </c>
      <c r="X468" s="3">
        <f>LEFT(C468, LEN(C468) - 5)</f>
        <v/>
      </c>
    </row>
    <row r="469">
      <c r="A469" s="2" t="inlineStr">
        <is>
          <t>Projeto Lei</t>
        </is>
      </c>
      <c r="B469" s="4" t="n"/>
      <c r="C469" s="2" t="n"/>
      <c r="D469" s="2" t="n"/>
      <c r="E469" s="2" t="n"/>
      <c r="F469" s="18" t="n"/>
      <c r="G469" s="10" t="n"/>
      <c r="H469" s="10" t="n"/>
      <c r="I469" s="4" t="n"/>
      <c r="J469" s="9" t="n"/>
      <c r="K469" s="4" t="n"/>
      <c r="L469" s="4" t="n"/>
      <c r="M469" s="4" t="n"/>
      <c r="N469" s="4" t="n"/>
      <c r="O469" s="4" t="n"/>
      <c r="P469" s="4" t="n"/>
      <c r="Q469" s="12" t="n"/>
      <c r="R469" s="2" t="n"/>
      <c r="S469" s="4" t="n"/>
      <c r="T469" s="4" t="n"/>
      <c r="U469" s="7" t="n"/>
      <c r="V469" s="3" t="n"/>
      <c r="W469" s="3">
        <f>RIGHT(C469, 4)</f>
        <v/>
      </c>
      <c r="X469" s="3">
        <f>LEFT(C469, LEN(C469) - 5)</f>
        <v/>
      </c>
    </row>
    <row r="470">
      <c r="A470" s="2" t="inlineStr">
        <is>
          <t>Projeto Lei</t>
        </is>
      </c>
      <c r="B470" s="4" t="n"/>
      <c r="C470" s="2" t="n"/>
      <c r="D470" s="2" t="n"/>
      <c r="E470" s="2" t="n"/>
      <c r="F470" s="18" t="n"/>
      <c r="G470" s="10" t="n"/>
      <c r="H470" s="10" t="n"/>
      <c r="I470" s="4" t="n"/>
      <c r="J470" s="9" t="n"/>
      <c r="K470" s="4" t="n"/>
      <c r="L470" s="4" t="n"/>
      <c r="M470" s="4" t="n"/>
      <c r="N470" s="4" t="n"/>
      <c r="O470" s="4" t="n"/>
      <c r="P470" s="4" t="n"/>
      <c r="Q470" s="12" t="n"/>
      <c r="R470" s="2" t="n"/>
      <c r="S470" s="4" t="n"/>
      <c r="T470" s="4" t="n"/>
      <c r="U470" s="7" t="n"/>
      <c r="V470" s="3" t="n"/>
      <c r="W470" s="3">
        <f>RIGHT(C470, 4)</f>
        <v/>
      </c>
      <c r="X470" s="3">
        <f>LEFT(C470, LEN(C470) - 5)</f>
        <v/>
      </c>
    </row>
    <row r="471">
      <c r="A471" s="2" t="inlineStr">
        <is>
          <t>Projeto Lei</t>
        </is>
      </c>
      <c r="B471" s="4" t="n"/>
      <c r="C471" s="2" t="n"/>
      <c r="D471" s="2" t="n"/>
      <c r="E471" s="2" t="n"/>
      <c r="F471" s="18" t="n"/>
      <c r="G471" s="10" t="n"/>
      <c r="H471" s="10" t="n"/>
      <c r="I471" s="4" t="n"/>
      <c r="J471" s="9" t="n"/>
      <c r="K471" s="4" t="n"/>
      <c r="L471" s="4" t="n"/>
      <c r="M471" s="4" t="n"/>
      <c r="N471" s="4" t="n"/>
      <c r="O471" s="4" t="n"/>
      <c r="P471" s="4" t="n"/>
      <c r="Q471" s="12" t="n"/>
      <c r="R471" s="2" t="n"/>
      <c r="S471" s="4" t="n"/>
      <c r="T471" s="4" t="n"/>
      <c r="U471" s="7" t="n"/>
      <c r="V471" s="3" t="n"/>
      <c r="W471" s="3">
        <f>RIGHT(C471, 4)</f>
        <v/>
      </c>
      <c r="X471" s="3">
        <f>LEFT(C471, LEN(C471) - 5)</f>
        <v/>
      </c>
    </row>
    <row r="472">
      <c r="A472" s="2" t="inlineStr">
        <is>
          <t>Projeto Lei</t>
        </is>
      </c>
      <c r="B472" s="4" t="n"/>
      <c r="C472" s="2" t="n"/>
      <c r="D472" s="2" t="n"/>
      <c r="E472" s="2" t="n"/>
      <c r="F472" s="18" t="n"/>
      <c r="G472" s="10" t="n"/>
      <c r="H472" s="10" t="n"/>
      <c r="I472" s="4" t="n"/>
      <c r="J472" s="9" t="n"/>
      <c r="K472" s="4" t="n"/>
      <c r="L472" s="4" t="n"/>
      <c r="M472" s="4" t="n"/>
      <c r="N472" s="4" t="n"/>
      <c r="O472" s="4" t="n"/>
      <c r="P472" s="4" t="n"/>
      <c r="Q472" s="12" t="n"/>
      <c r="R472" s="2" t="n"/>
      <c r="S472" s="4" t="n"/>
      <c r="T472" s="4" t="n"/>
      <c r="U472" s="7" t="n"/>
      <c r="V472" s="3" t="n"/>
      <c r="W472" s="3">
        <f>RIGHT(C472, 4)</f>
        <v/>
      </c>
      <c r="X472" s="3">
        <f>LEFT(C472, LEN(C472) - 5)</f>
        <v/>
      </c>
    </row>
    <row r="473">
      <c r="A473" s="2" t="inlineStr">
        <is>
          <t>Projeto Lei</t>
        </is>
      </c>
      <c r="B473" s="4" t="n"/>
      <c r="C473" s="2" t="n"/>
      <c r="D473" s="2" t="n"/>
      <c r="E473" s="2" t="n"/>
      <c r="F473" s="18" t="n"/>
      <c r="G473" s="10" t="n"/>
      <c r="H473" s="10" t="n"/>
      <c r="I473" s="4" t="n"/>
      <c r="J473" s="9" t="n"/>
      <c r="K473" s="4" t="n"/>
      <c r="L473" s="4" t="n"/>
      <c r="M473" s="4" t="n"/>
      <c r="N473" s="4" t="n"/>
      <c r="O473" s="4" t="n"/>
      <c r="P473" s="4" t="n"/>
      <c r="Q473" s="12" t="n"/>
      <c r="R473" s="2" t="n"/>
      <c r="S473" s="4" t="n"/>
      <c r="T473" s="4" t="n"/>
      <c r="U473" s="7" t="n"/>
      <c r="V473" s="3" t="n"/>
      <c r="W473" s="3">
        <f>RIGHT(C473, 4)</f>
        <v/>
      </c>
      <c r="X473" s="3">
        <f>LEFT(C473, LEN(C473) - 5)</f>
        <v/>
      </c>
    </row>
    <row r="474">
      <c r="A474" s="2" t="inlineStr">
        <is>
          <t>Projeto Lei</t>
        </is>
      </c>
      <c r="B474" s="4" t="n"/>
      <c r="C474" s="2" t="n"/>
      <c r="D474" s="2" t="n"/>
      <c r="E474" s="2" t="n"/>
      <c r="F474" s="18" t="n"/>
      <c r="G474" s="10" t="n"/>
      <c r="H474" s="10" t="n"/>
      <c r="I474" s="4" t="n"/>
      <c r="J474" s="9" t="n"/>
      <c r="K474" s="4" t="n"/>
      <c r="L474" s="4" t="n"/>
      <c r="M474" s="4" t="n"/>
      <c r="N474" s="4" t="n"/>
      <c r="O474" s="4" t="n"/>
      <c r="P474" s="4" t="n"/>
      <c r="Q474" s="12" t="n"/>
      <c r="R474" s="2" t="n"/>
      <c r="S474" s="4" t="n"/>
      <c r="T474" s="4" t="n"/>
      <c r="U474" s="7" t="n"/>
      <c r="V474" s="3" t="n"/>
      <c r="W474" s="3">
        <f>RIGHT(C474, 4)</f>
        <v/>
      </c>
      <c r="X474" s="3">
        <f>LEFT(C474, LEN(C474) - 5)</f>
        <v/>
      </c>
    </row>
    <row r="475">
      <c r="A475" s="2" t="inlineStr">
        <is>
          <t>Projeto Lei</t>
        </is>
      </c>
      <c r="B475" s="4" t="n"/>
      <c r="C475" s="2" t="n"/>
      <c r="D475" s="2" t="n"/>
      <c r="E475" s="2" t="n"/>
      <c r="F475" s="18" t="n"/>
      <c r="G475" s="10" t="n"/>
      <c r="H475" s="10" t="n"/>
      <c r="I475" s="4" t="n"/>
      <c r="J475" s="9" t="n"/>
      <c r="K475" s="4" t="n"/>
      <c r="L475" s="4" t="n"/>
      <c r="M475" s="4" t="n"/>
      <c r="N475" s="4" t="n"/>
      <c r="O475" s="4" t="n"/>
      <c r="P475" s="4" t="n"/>
      <c r="Q475" s="12" t="n"/>
      <c r="R475" s="2" t="n"/>
      <c r="S475" s="4" t="n"/>
      <c r="T475" s="4" t="n"/>
      <c r="U475" s="7" t="n"/>
      <c r="V475" s="3" t="n"/>
      <c r="W475" s="3">
        <f>RIGHT(C475, 4)</f>
        <v/>
      </c>
      <c r="X475" s="3">
        <f>LEFT(C475, LEN(C475) - 5)</f>
        <v/>
      </c>
    </row>
    <row r="476">
      <c r="A476" s="2" t="inlineStr">
        <is>
          <t>Projeto Lei</t>
        </is>
      </c>
      <c r="B476" s="4" t="n"/>
      <c r="C476" s="2" t="n"/>
      <c r="D476" s="2" t="n"/>
      <c r="E476" s="2" t="n"/>
      <c r="F476" s="18" t="n"/>
      <c r="G476" s="10" t="n"/>
      <c r="H476" s="10" t="n"/>
      <c r="I476" s="4" t="n"/>
      <c r="J476" s="9" t="n"/>
      <c r="K476" s="4" t="n"/>
      <c r="L476" s="4" t="n"/>
      <c r="M476" s="4" t="n"/>
      <c r="N476" s="4" t="n"/>
      <c r="O476" s="4" t="n"/>
      <c r="P476" s="4" t="n"/>
      <c r="Q476" s="12" t="n"/>
      <c r="R476" s="2" t="n"/>
      <c r="S476" s="4" t="n"/>
      <c r="T476" s="4" t="n"/>
      <c r="U476" s="7" t="n"/>
      <c r="V476" s="3" t="n"/>
      <c r="W476" s="3">
        <f>RIGHT(C476, 4)</f>
        <v/>
      </c>
      <c r="X476" s="3">
        <f>LEFT(C476, LEN(C476) - 5)</f>
        <v/>
      </c>
    </row>
    <row r="477">
      <c r="A477" s="2" t="inlineStr">
        <is>
          <t>Projeto Lei</t>
        </is>
      </c>
      <c r="B477" s="4" t="n"/>
      <c r="C477" s="2" t="n"/>
      <c r="D477" s="2" t="n"/>
      <c r="E477" s="2" t="n"/>
      <c r="F477" s="18" t="n"/>
      <c r="G477" s="10" t="n"/>
      <c r="H477" s="10" t="n"/>
      <c r="I477" s="4" t="n"/>
      <c r="J477" s="9" t="n"/>
      <c r="K477" s="4" t="n"/>
      <c r="L477" s="4" t="n"/>
      <c r="M477" s="4" t="n"/>
      <c r="N477" s="4" t="n"/>
      <c r="O477" s="4" t="n"/>
      <c r="P477" s="4" t="n"/>
      <c r="Q477" s="12" t="n"/>
      <c r="R477" s="2" t="n"/>
      <c r="S477" s="4" t="n"/>
      <c r="T477" s="4" t="n"/>
      <c r="U477" s="7" t="n"/>
      <c r="V477" s="3" t="n"/>
      <c r="W477" s="3">
        <f>RIGHT(C477, 4)</f>
        <v/>
      </c>
      <c r="X477" s="3">
        <f>LEFT(C477, LEN(C477) - 5)</f>
        <v/>
      </c>
    </row>
    <row r="478">
      <c r="A478" s="2" t="inlineStr">
        <is>
          <t>Projeto Lei</t>
        </is>
      </c>
      <c r="B478" s="4" t="n"/>
      <c r="C478" s="2" t="n"/>
      <c r="D478" s="2" t="n"/>
      <c r="E478" s="2" t="n"/>
      <c r="F478" s="18" t="n"/>
      <c r="G478" s="10" t="n"/>
      <c r="H478" s="10" t="n"/>
      <c r="I478" s="4" t="n"/>
      <c r="J478" s="43" t="n"/>
      <c r="K478" s="4" t="n"/>
      <c r="L478" s="4" t="n"/>
      <c r="M478" s="4" t="n"/>
      <c r="N478" s="4" t="n"/>
      <c r="O478" s="4" t="n"/>
      <c r="P478" s="4" t="n"/>
      <c r="Q478" s="12" t="n"/>
      <c r="R478" s="2" t="n"/>
      <c r="S478" s="4" t="n"/>
      <c r="T478" s="4" t="n"/>
      <c r="U478" s="7" t="n"/>
      <c r="V478" s="3" t="n"/>
      <c r="W478" s="3">
        <f>RIGHT(C478, 4)</f>
        <v/>
      </c>
      <c r="X478" s="3">
        <f>LEFT(C478, LEN(C478) - 5)</f>
        <v/>
      </c>
    </row>
    <row r="479">
      <c r="A479" s="2" t="inlineStr">
        <is>
          <t>Projeto Lei</t>
        </is>
      </c>
      <c r="B479" s="4" t="n"/>
      <c r="C479" s="2" t="n"/>
      <c r="D479" s="2" t="n"/>
      <c r="E479" s="2" t="n"/>
      <c r="F479" s="18" t="n"/>
      <c r="G479" s="10" t="n"/>
      <c r="H479" s="37" t="n"/>
      <c r="I479" s="14" t="n"/>
      <c r="J479" s="9" t="n"/>
      <c r="K479" s="4" t="n"/>
      <c r="L479" s="9" t="n"/>
      <c r="M479" s="4" t="n"/>
      <c r="N479" s="4" t="n"/>
      <c r="O479" s="4" t="n"/>
      <c r="P479" s="4" t="n"/>
      <c r="Q479" s="4" t="n"/>
      <c r="R479" s="13" t="n"/>
      <c r="S479" s="4" t="n"/>
      <c r="T479" s="4" t="n"/>
      <c r="U479" s="7" t="n"/>
      <c r="V479" s="3" t="n"/>
      <c r="W479" s="3">
        <f>RIGHT(C479, 4)</f>
        <v/>
      </c>
      <c r="X479" s="3">
        <f>LEFT(C479, LEN(C479) - 5)</f>
        <v/>
      </c>
    </row>
    <row r="480">
      <c r="A480" s="2" t="inlineStr">
        <is>
          <t>Projeto Lei</t>
        </is>
      </c>
      <c r="B480" s="4" t="n"/>
      <c r="C480" s="2" t="n"/>
      <c r="D480" s="2" t="n"/>
      <c r="E480" s="2" t="n"/>
      <c r="F480" s="18" t="n"/>
      <c r="G480" s="10" t="n"/>
      <c r="H480" s="10" t="n"/>
      <c r="I480" s="4" t="n"/>
      <c r="J480" s="9" t="n"/>
      <c r="K480" s="4" t="n"/>
      <c r="L480" s="4" t="n"/>
      <c r="M480" s="4" t="n"/>
      <c r="N480" s="4" t="n"/>
      <c r="O480" s="4" t="n"/>
      <c r="P480" s="4" t="n"/>
      <c r="Q480" s="12" t="n"/>
      <c r="R480" s="2" t="n"/>
      <c r="S480" s="4" t="n"/>
      <c r="T480" s="4" t="n"/>
      <c r="U480" s="7" t="n"/>
      <c r="V480" s="3" t="n"/>
      <c r="W480" s="3">
        <f>RIGHT(C480, 4)</f>
        <v/>
      </c>
      <c r="X480" s="3">
        <f>LEFT(C480, LEN(C480) - 5)</f>
        <v/>
      </c>
    </row>
    <row r="481">
      <c r="A481" s="2" t="inlineStr">
        <is>
          <t>Projeto Lei</t>
        </is>
      </c>
      <c r="B481" s="4" t="n"/>
      <c r="C481" s="2" t="n"/>
      <c r="D481" s="2" t="n"/>
      <c r="E481" s="2" t="n"/>
      <c r="F481" s="18" t="n"/>
      <c r="G481" s="10" t="n"/>
      <c r="H481" s="10" t="n"/>
      <c r="I481" s="4" t="n"/>
      <c r="J481" s="9" t="n"/>
      <c r="K481" s="4" t="n"/>
      <c r="L481" s="4" t="n"/>
      <c r="M481" s="4" t="n"/>
      <c r="N481" s="4" t="n"/>
      <c r="O481" s="4" t="n"/>
      <c r="P481" s="4" t="n"/>
      <c r="Q481" s="12" t="n"/>
      <c r="R481" s="2" t="n"/>
      <c r="S481" s="4" t="n"/>
      <c r="T481" s="4" t="n"/>
      <c r="U481" s="7" t="n"/>
      <c r="V481" s="3" t="n"/>
      <c r="W481" s="3">
        <f>RIGHT(C481, 4)</f>
        <v/>
      </c>
      <c r="X481" s="3">
        <f>LEFT(C481, LEN(C481) - 5)</f>
        <v/>
      </c>
    </row>
    <row r="482">
      <c r="A482" s="2" t="inlineStr">
        <is>
          <t>Projeto Lei</t>
        </is>
      </c>
      <c r="B482" s="4" t="n"/>
      <c r="C482" s="2" t="n"/>
      <c r="D482" s="2" t="n"/>
      <c r="E482" s="2" t="n"/>
      <c r="F482" s="18" t="n"/>
      <c r="G482" s="10" t="n"/>
      <c r="H482" s="10" t="n"/>
      <c r="I482" s="4" t="n"/>
      <c r="J482" s="9" t="n"/>
      <c r="K482" s="4" t="n"/>
      <c r="L482" s="4" t="n"/>
      <c r="M482" s="4" t="n"/>
      <c r="N482" s="4" t="n"/>
      <c r="O482" s="4" t="n"/>
      <c r="P482" s="4" t="n"/>
      <c r="Q482" s="12" t="n"/>
      <c r="R482" s="2" t="n"/>
      <c r="S482" s="4" t="n"/>
      <c r="T482" s="4" t="n"/>
      <c r="U482" s="7" t="n"/>
      <c r="V482" s="3" t="n"/>
      <c r="W482" s="3">
        <f>RIGHT(C482, 4)</f>
        <v/>
      </c>
      <c r="X482" s="3">
        <f>LEFT(C482, LEN(C482) - 5)</f>
        <v/>
      </c>
    </row>
    <row r="483">
      <c r="A483" s="2" t="inlineStr">
        <is>
          <t>Projeto Lei</t>
        </is>
      </c>
      <c r="B483" s="4" t="n"/>
      <c r="C483" s="2" t="n"/>
      <c r="D483" s="2" t="n"/>
      <c r="E483" s="2" t="n"/>
      <c r="F483" s="18" t="n"/>
      <c r="G483" s="10" t="n"/>
      <c r="H483" s="10" t="n"/>
      <c r="I483" s="4" t="n"/>
      <c r="J483" s="9" t="n"/>
      <c r="K483" s="4" t="n"/>
      <c r="L483" s="4" t="n"/>
      <c r="M483" s="4" t="n"/>
      <c r="N483" s="4" t="n"/>
      <c r="O483" s="4" t="n"/>
      <c r="P483" s="4" t="n"/>
      <c r="Q483" s="12" t="n"/>
      <c r="R483" s="2" t="n"/>
      <c r="S483" s="4" t="n"/>
      <c r="T483" s="4" t="n"/>
      <c r="U483" s="7" t="n"/>
      <c r="V483" s="3" t="n"/>
      <c r="W483" s="3">
        <f>RIGHT(C483, 4)</f>
        <v/>
      </c>
      <c r="X483" s="3">
        <f>LEFT(C483, LEN(C483) - 5)</f>
        <v/>
      </c>
    </row>
    <row r="484">
      <c r="A484" s="2" t="inlineStr">
        <is>
          <t>Projeto Lei</t>
        </is>
      </c>
      <c r="B484" s="4" t="n"/>
      <c r="C484" s="2" t="n"/>
      <c r="D484" s="2" t="n"/>
      <c r="E484" s="2" t="n"/>
      <c r="F484" s="18" t="n"/>
      <c r="G484" s="10" t="n"/>
      <c r="H484" s="10" t="n"/>
      <c r="I484" s="4" t="n"/>
      <c r="J484" s="9" t="n"/>
      <c r="K484" s="4" t="n"/>
      <c r="L484" s="4" t="n"/>
      <c r="M484" s="4" t="n"/>
      <c r="N484" s="4" t="n"/>
      <c r="O484" s="4" t="n"/>
      <c r="P484" s="4" t="n"/>
      <c r="Q484" s="12" t="n"/>
      <c r="R484" s="2" t="n"/>
      <c r="S484" s="4" t="n"/>
      <c r="T484" s="4" t="n"/>
      <c r="U484" s="7" t="n"/>
      <c r="V484" s="3" t="n"/>
      <c r="W484" s="3">
        <f>RIGHT(C484, 4)</f>
        <v/>
      </c>
      <c r="X484" s="3">
        <f>LEFT(C484, LEN(C484) - 5)</f>
        <v/>
      </c>
    </row>
    <row r="485">
      <c r="A485" s="2" t="inlineStr">
        <is>
          <t>Projeto Lei</t>
        </is>
      </c>
      <c r="B485" s="4" t="n"/>
      <c r="C485" s="2" t="n"/>
      <c r="D485" s="2" t="n"/>
      <c r="E485" s="2" t="n"/>
      <c r="F485" s="18" t="n"/>
      <c r="G485" s="10" t="n"/>
      <c r="H485" s="10" t="n"/>
      <c r="I485" s="4" t="n"/>
      <c r="J485" s="9" t="n"/>
      <c r="K485" s="4" t="n"/>
      <c r="L485" s="4" t="n"/>
      <c r="M485" s="4" t="n"/>
      <c r="N485" s="4" t="n"/>
      <c r="O485" s="4" t="n"/>
      <c r="P485" s="4" t="n"/>
      <c r="Q485" s="12" t="n"/>
      <c r="R485" s="2" t="n"/>
      <c r="S485" s="4" t="n"/>
      <c r="T485" s="4" t="n"/>
      <c r="U485" s="7" t="n"/>
      <c r="V485" s="3" t="n"/>
      <c r="W485" s="3">
        <f>RIGHT(C485, 4)</f>
        <v/>
      </c>
      <c r="X485" s="3">
        <f>LEFT(C485, LEN(C485) - 5)</f>
        <v/>
      </c>
    </row>
    <row r="486">
      <c r="A486" s="2" t="inlineStr">
        <is>
          <t>Projeto Lei</t>
        </is>
      </c>
      <c r="B486" s="4" t="n"/>
      <c r="C486" s="2" t="n"/>
      <c r="D486" s="2" t="n"/>
      <c r="E486" s="2" t="n"/>
      <c r="F486" s="18" t="n"/>
      <c r="G486" s="10" t="n"/>
      <c r="H486" s="10" t="n"/>
      <c r="I486" s="4" t="n"/>
      <c r="J486" s="9" t="n"/>
      <c r="K486" s="4" t="n"/>
      <c r="L486" s="4" t="n"/>
      <c r="M486" s="4" t="n"/>
      <c r="N486" s="4" t="n"/>
      <c r="O486" s="4" t="n"/>
      <c r="P486" s="4" t="n"/>
      <c r="Q486" s="12" t="n"/>
      <c r="R486" s="2" t="n"/>
      <c r="S486" s="4" t="n"/>
      <c r="T486" s="4" t="n"/>
      <c r="U486" s="7" t="n"/>
      <c r="V486" s="3" t="n"/>
      <c r="W486" s="3">
        <f>RIGHT(C486, 4)</f>
        <v/>
      </c>
      <c r="X486" s="3">
        <f>LEFT(C486, LEN(C486) - 5)</f>
        <v/>
      </c>
    </row>
    <row r="487">
      <c r="A487" s="2" t="inlineStr">
        <is>
          <t>Projeto Lei</t>
        </is>
      </c>
      <c r="B487" s="4" t="n"/>
      <c r="C487" s="2" t="n"/>
      <c r="D487" s="2" t="n"/>
      <c r="E487" s="2" t="n"/>
      <c r="F487" s="18" t="n"/>
      <c r="G487" s="10" t="n"/>
      <c r="H487" s="10" t="n"/>
      <c r="I487" s="4" t="n"/>
      <c r="J487" s="9" t="n"/>
      <c r="K487" s="4" t="n"/>
      <c r="L487" s="4" t="n"/>
      <c r="M487" s="4" t="n"/>
      <c r="N487" s="4" t="n"/>
      <c r="O487" s="4" t="n"/>
      <c r="P487" s="4" t="n"/>
      <c r="Q487" s="12" t="n"/>
      <c r="R487" s="2" t="n"/>
      <c r="S487" s="4" t="n"/>
      <c r="T487" s="4" t="n"/>
      <c r="U487" s="7" t="n"/>
      <c r="V487" s="3" t="n"/>
      <c r="W487" s="3">
        <f>RIGHT(C487, 4)</f>
        <v/>
      </c>
      <c r="X487" s="3">
        <f>LEFT(C487, LEN(C487) - 5)</f>
        <v/>
      </c>
    </row>
    <row r="488">
      <c r="A488" s="2" t="inlineStr">
        <is>
          <t>Projeto Lei</t>
        </is>
      </c>
      <c r="B488" s="4" t="n"/>
      <c r="C488" s="2" t="n"/>
      <c r="D488" s="2" t="n"/>
      <c r="E488" s="2" t="n"/>
      <c r="F488" s="18" t="n"/>
      <c r="G488" s="10" t="n"/>
      <c r="H488" s="10" t="n"/>
      <c r="I488" s="4" t="n"/>
      <c r="J488" s="9" t="n"/>
      <c r="K488" s="4" t="n"/>
      <c r="L488" s="4" t="n"/>
      <c r="M488" s="4" t="n"/>
      <c r="N488" s="4" t="n"/>
      <c r="O488" s="4" t="n"/>
      <c r="P488" s="4" t="n"/>
      <c r="Q488" s="12" t="n"/>
      <c r="R488" s="2" t="n"/>
      <c r="S488" s="4" t="n"/>
      <c r="T488" s="4" t="n"/>
      <c r="U488" s="7" t="n"/>
      <c r="V488" s="3" t="n"/>
      <c r="W488" s="3">
        <f>RIGHT(C488, 4)</f>
        <v/>
      </c>
      <c r="X488" s="3">
        <f>LEFT(C488, LEN(C488) - 5)</f>
        <v/>
      </c>
    </row>
    <row r="489">
      <c r="A489" s="2" t="inlineStr">
        <is>
          <t>Projeto Lei</t>
        </is>
      </c>
      <c r="B489" s="4" t="n"/>
      <c r="C489" s="2" t="n"/>
      <c r="D489" s="2" t="n"/>
      <c r="E489" s="2" t="n"/>
      <c r="F489" s="18" t="n"/>
      <c r="G489" s="10" t="n"/>
      <c r="H489" s="10" t="n"/>
      <c r="I489" s="4" t="n"/>
      <c r="J489" s="9" t="n"/>
      <c r="K489" s="4" t="n"/>
      <c r="L489" s="4" t="n"/>
      <c r="M489" s="4" t="n"/>
      <c r="N489" s="4" t="n"/>
      <c r="O489" s="4" t="n"/>
      <c r="P489" s="4" t="n"/>
      <c r="Q489" s="12" t="n"/>
      <c r="R489" s="2" t="n"/>
      <c r="S489" s="4" t="n"/>
      <c r="T489" s="4" t="n"/>
      <c r="U489" s="7" t="n"/>
      <c r="V489" s="3" t="n"/>
      <c r="W489" s="3">
        <f>RIGHT(C489, 4)</f>
        <v/>
      </c>
      <c r="X489" s="3">
        <f>LEFT(C489, LEN(C489) - 5)</f>
        <v/>
      </c>
    </row>
    <row r="490">
      <c r="A490" s="2" t="inlineStr">
        <is>
          <t>Projeto Lei</t>
        </is>
      </c>
      <c r="B490" s="4" t="n"/>
      <c r="C490" s="2" t="n"/>
      <c r="D490" s="2" t="n"/>
      <c r="E490" s="2" t="n"/>
      <c r="F490" s="18" t="n"/>
      <c r="G490" s="10" t="n"/>
      <c r="H490" s="10" t="n"/>
      <c r="I490" s="4" t="n"/>
      <c r="J490" s="9" t="n"/>
      <c r="K490" s="4" t="n"/>
      <c r="L490" s="4" t="n"/>
      <c r="M490" s="4" t="n"/>
      <c r="N490" s="4" t="n"/>
      <c r="O490" s="4" t="n"/>
      <c r="P490" s="4" t="n"/>
      <c r="Q490" s="12" t="n"/>
      <c r="R490" s="2" t="n"/>
      <c r="S490" s="4" t="n"/>
      <c r="T490" s="4" t="n"/>
      <c r="U490" s="7" t="n"/>
      <c r="V490" s="3" t="n"/>
      <c r="W490" s="3">
        <f>RIGHT(C490, 4)</f>
        <v/>
      </c>
      <c r="X490" s="3">
        <f>LEFT(C490, LEN(C490) - 5)</f>
        <v/>
      </c>
    </row>
    <row r="491">
      <c r="A491" s="2" t="inlineStr">
        <is>
          <t>Projeto Lei</t>
        </is>
      </c>
      <c r="B491" s="4" t="n"/>
      <c r="C491" s="2" t="n"/>
      <c r="D491" s="2" t="n"/>
      <c r="E491" s="2" t="n"/>
      <c r="F491" s="18" t="n"/>
      <c r="G491" s="10" t="n"/>
      <c r="H491" s="10" t="n"/>
      <c r="I491" s="4" t="n"/>
      <c r="J491" s="9" t="n"/>
      <c r="K491" s="4" t="n"/>
      <c r="L491" s="4" t="n"/>
      <c r="M491" s="4" t="n"/>
      <c r="N491" s="4" t="n"/>
      <c r="O491" s="4" t="n"/>
      <c r="P491" s="4" t="n"/>
      <c r="Q491" s="12" t="n"/>
      <c r="R491" s="2" t="n"/>
      <c r="S491" s="4" t="n"/>
      <c r="T491" s="4" t="n"/>
      <c r="U491" s="7" t="n"/>
      <c r="V491" s="3" t="n"/>
      <c r="W491" s="3">
        <f>RIGHT(C491, 4)</f>
        <v/>
      </c>
      <c r="X491" s="3">
        <f>LEFT(C491, LEN(C491) - 5)</f>
        <v/>
      </c>
    </row>
    <row r="492">
      <c r="A492" s="2" t="inlineStr">
        <is>
          <t>Projeto Lei</t>
        </is>
      </c>
      <c r="B492" s="4" t="n"/>
      <c r="C492" s="2" t="n"/>
      <c r="D492" s="2" t="n"/>
      <c r="E492" s="2" t="n"/>
      <c r="F492" s="18" t="n"/>
      <c r="G492" s="10" t="n"/>
      <c r="H492" s="10" t="n"/>
      <c r="I492" s="4" t="n"/>
      <c r="J492" s="9" t="n"/>
      <c r="K492" s="4" t="n"/>
      <c r="L492" s="4" t="n"/>
      <c r="M492" s="4" t="n"/>
      <c r="N492" s="4" t="n"/>
      <c r="O492" s="4" t="n"/>
      <c r="P492" s="4" t="n"/>
      <c r="Q492" s="12" t="n"/>
      <c r="R492" s="2" t="n"/>
      <c r="S492" s="4" t="n"/>
      <c r="T492" s="4" t="n"/>
      <c r="U492" s="7" t="n"/>
      <c r="V492" s="3" t="n"/>
      <c r="W492" s="3">
        <f>RIGHT(C492, 4)</f>
        <v/>
      </c>
      <c r="X492" s="3">
        <f>LEFT(C492, LEN(C492) - 5)</f>
        <v/>
      </c>
    </row>
    <row r="493">
      <c r="A493" s="2" t="inlineStr">
        <is>
          <t>Projeto Lei</t>
        </is>
      </c>
      <c r="B493" s="4" t="n"/>
      <c r="C493" s="2" t="n"/>
      <c r="D493" s="2" t="n"/>
      <c r="E493" s="2" t="n"/>
      <c r="F493" s="18" t="n"/>
      <c r="G493" s="10" t="n"/>
      <c r="H493" s="10" t="n"/>
      <c r="I493" s="4" t="n"/>
      <c r="J493" s="9" t="n"/>
      <c r="K493" s="4" t="n"/>
      <c r="L493" s="4" t="n"/>
      <c r="M493" s="4" t="n"/>
      <c r="N493" s="4" t="n"/>
      <c r="O493" s="4" t="n"/>
      <c r="P493" s="4" t="n"/>
      <c r="Q493" s="12" t="n"/>
      <c r="R493" s="2" t="n"/>
      <c r="S493" s="4" t="n"/>
      <c r="T493" s="4" t="n"/>
      <c r="U493" s="7" t="n"/>
      <c r="V493" s="3" t="n"/>
      <c r="W493" s="3">
        <f>RIGHT(C493, 4)</f>
        <v/>
      </c>
      <c r="X493" s="3">
        <f>LEFT(C493, LEN(C493) - 5)</f>
        <v/>
      </c>
    </row>
    <row r="494">
      <c r="A494" s="2" t="inlineStr">
        <is>
          <t>Projeto Lei</t>
        </is>
      </c>
      <c r="B494" s="4" t="n"/>
      <c r="C494" s="2" t="n"/>
      <c r="D494" s="2" t="n"/>
      <c r="E494" s="2" t="n"/>
      <c r="F494" s="18" t="n"/>
      <c r="G494" s="10" t="n"/>
      <c r="H494" s="10" t="n"/>
      <c r="I494" s="4" t="n"/>
      <c r="J494" s="9" t="n"/>
      <c r="K494" s="4" t="n"/>
      <c r="L494" s="4" t="n"/>
      <c r="M494" s="4" t="n"/>
      <c r="N494" s="4" t="n"/>
      <c r="O494" s="4" t="n"/>
      <c r="P494" s="4" t="n"/>
      <c r="Q494" s="12" t="n"/>
      <c r="R494" s="2" t="n"/>
      <c r="S494" s="4" t="n"/>
      <c r="T494" s="4" t="n"/>
      <c r="U494" s="7" t="n"/>
      <c r="V494" s="3" t="n"/>
      <c r="W494" s="3">
        <f>RIGHT(C494, 4)</f>
        <v/>
      </c>
      <c r="X494" s="3">
        <f>LEFT(C494, LEN(C494) - 5)</f>
        <v/>
      </c>
    </row>
    <row r="495">
      <c r="A495" s="2" t="inlineStr">
        <is>
          <t>Projeto Lei</t>
        </is>
      </c>
      <c r="B495" s="4" t="n"/>
      <c r="C495" s="2" t="n"/>
      <c r="D495" s="2" t="n"/>
      <c r="E495" s="2" t="n"/>
      <c r="F495" s="18" t="n"/>
      <c r="G495" s="10" t="n"/>
      <c r="H495" s="10" t="n"/>
      <c r="I495" s="4" t="n"/>
      <c r="J495" s="9" t="n"/>
      <c r="K495" s="4" t="n"/>
      <c r="L495" s="4" t="n"/>
      <c r="M495" s="4" t="n"/>
      <c r="N495" s="4" t="n"/>
      <c r="O495" s="4" t="n"/>
      <c r="P495" s="4" t="n"/>
      <c r="Q495" s="12" t="n"/>
      <c r="R495" s="2" t="n"/>
      <c r="S495" s="4" t="n"/>
      <c r="T495" s="4" t="n"/>
      <c r="U495" s="7" t="n"/>
      <c r="V495" s="3" t="n"/>
      <c r="W495" s="3">
        <f>RIGHT(C495, 4)</f>
        <v/>
      </c>
      <c r="X495" s="3">
        <f>LEFT(C495, LEN(C495) - 5)</f>
        <v/>
      </c>
    </row>
    <row r="496">
      <c r="A496" s="2" t="inlineStr">
        <is>
          <t>Projeto Lei</t>
        </is>
      </c>
      <c r="B496" s="4" t="n"/>
      <c r="C496" s="2" t="n"/>
      <c r="D496" s="2" t="n"/>
      <c r="E496" s="2" t="n"/>
      <c r="F496" s="18" t="n"/>
      <c r="G496" s="10" t="n"/>
      <c r="H496" s="10" t="n"/>
      <c r="I496" s="4" t="n"/>
      <c r="J496" s="9" t="n"/>
      <c r="K496" s="4" t="n"/>
      <c r="L496" s="4" t="n"/>
      <c r="M496" s="4" t="n"/>
      <c r="N496" s="4" t="n"/>
      <c r="O496" s="4" t="n"/>
      <c r="P496" s="4" t="n"/>
      <c r="Q496" s="12" t="n"/>
      <c r="R496" s="2" t="n"/>
      <c r="S496" s="4" t="n"/>
      <c r="T496" s="4" t="n"/>
      <c r="U496" s="7" t="n"/>
      <c r="V496" s="3" t="n"/>
      <c r="W496" s="3">
        <f>RIGHT(C496, 4)</f>
        <v/>
      </c>
      <c r="X496" s="3">
        <f>LEFT(C496, LEN(C496) - 5)</f>
        <v/>
      </c>
    </row>
    <row r="497">
      <c r="A497" s="2" t="inlineStr">
        <is>
          <t>Projeto Lei</t>
        </is>
      </c>
      <c r="B497" s="4" t="n"/>
      <c r="C497" s="2" t="n"/>
      <c r="D497" s="2" t="n"/>
      <c r="E497" s="2" t="n"/>
      <c r="F497" s="18" t="n"/>
      <c r="G497" s="10" t="n"/>
      <c r="H497" s="10" t="n"/>
      <c r="I497" s="4" t="n"/>
      <c r="J497" s="9" t="n"/>
      <c r="K497" s="4" t="n"/>
      <c r="L497" s="4" t="n"/>
      <c r="M497" s="4" t="n"/>
      <c r="N497" s="4" t="n"/>
      <c r="O497" s="4" t="n"/>
      <c r="P497" s="4" t="n"/>
      <c r="Q497" s="12" t="n"/>
      <c r="R497" s="2" t="n"/>
      <c r="S497" s="4" t="n"/>
      <c r="T497" s="4" t="n"/>
      <c r="U497" s="7" t="n"/>
      <c r="V497" s="3" t="n"/>
      <c r="W497" s="3">
        <f>RIGHT(C497, 4)</f>
        <v/>
      </c>
      <c r="X497" s="3">
        <f>LEFT(C497, LEN(C497) - 5)</f>
        <v/>
      </c>
    </row>
    <row r="498">
      <c r="A498" s="2" t="inlineStr">
        <is>
          <t>Projeto Lei</t>
        </is>
      </c>
      <c r="B498" s="4" t="n"/>
      <c r="C498" s="2" t="n"/>
      <c r="D498" s="2" t="n"/>
      <c r="E498" s="2" t="n"/>
      <c r="F498" s="18" t="n"/>
      <c r="G498" s="10" t="n"/>
      <c r="H498" s="10" t="n"/>
      <c r="I498" s="4" t="n"/>
      <c r="J498" s="9" t="n"/>
      <c r="K498" s="4" t="n"/>
      <c r="L498" s="4" t="n"/>
      <c r="M498" s="4" t="n"/>
      <c r="N498" s="4" t="n"/>
      <c r="O498" s="4" t="n"/>
      <c r="P498" s="4" t="n"/>
      <c r="Q498" s="12" t="n"/>
      <c r="R498" s="2" t="n"/>
      <c r="S498" s="4" t="n"/>
      <c r="T498" s="4" t="n"/>
      <c r="U498" s="7" t="n"/>
      <c r="V498" s="3" t="n"/>
      <c r="W498" s="3">
        <f>RIGHT(C498, 4)</f>
        <v/>
      </c>
      <c r="X498" s="3">
        <f>LEFT(C498, LEN(C498) - 5)</f>
        <v/>
      </c>
    </row>
    <row r="499">
      <c r="A499" s="2" t="inlineStr">
        <is>
          <t>Projeto Lei</t>
        </is>
      </c>
      <c r="B499" s="4" t="n"/>
      <c r="C499" s="2" t="n"/>
      <c r="D499" s="2" t="n"/>
      <c r="E499" s="2" t="n"/>
      <c r="F499" s="18" t="n"/>
      <c r="G499" s="10" t="n"/>
      <c r="H499" s="10" t="n"/>
      <c r="I499" s="4" t="n"/>
      <c r="J499" s="9" t="n"/>
      <c r="K499" s="4" t="n"/>
      <c r="L499" s="4" t="n"/>
      <c r="M499" s="4" t="n"/>
      <c r="N499" s="4" t="n"/>
      <c r="O499" s="4" t="n"/>
      <c r="P499" s="4" t="n"/>
      <c r="Q499" s="12" t="n"/>
      <c r="R499" s="2" t="n"/>
      <c r="S499" s="4" t="n"/>
      <c r="T499" s="4" t="n"/>
      <c r="U499" s="7" t="n"/>
      <c r="V499" s="3" t="n"/>
      <c r="W499" s="3">
        <f>RIGHT(C499, 4)</f>
        <v/>
      </c>
      <c r="X499" s="3">
        <f>LEFT(C499, LEN(C499) - 5)</f>
        <v/>
      </c>
    </row>
    <row r="500">
      <c r="A500" s="2" t="inlineStr">
        <is>
          <t>Projeto Lei</t>
        </is>
      </c>
      <c r="B500" s="4" t="n"/>
      <c r="C500" s="2" t="n"/>
      <c r="D500" s="2" t="n"/>
      <c r="E500" s="2" t="n"/>
      <c r="F500" s="18" t="n"/>
      <c r="G500" s="10" t="n"/>
      <c r="H500" s="10" t="n"/>
      <c r="I500" s="4" t="n"/>
      <c r="J500" s="9" t="n"/>
      <c r="K500" s="4" t="n"/>
      <c r="L500" s="4" t="n"/>
      <c r="M500" s="4" t="n"/>
      <c r="N500" s="4" t="n"/>
      <c r="O500" s="4" t="n"/>
      <c r="P500" s="4" t="n"/>
      <c r="Q500" s="12" t="n"/>
      <c r="R500" s="2" t="n"/>
      <c r="S500" s="4" t="n"/>
      <c r="T500" s="4" t="n"/>
      <c r="U500" s="7" t="n"/>
      <c r="V500" s="3" t="n"/>
      <c r="W500" s="3">
        <f>RIGHT(C500, 4)</f>
        <v/>
      </c>
      <c r="X500" s="3">
        <f>LEFT(C500, LEN(C500) - 5)</f>
        <v/>
      </c>
    </row>
    <row r="501">
      <c r="A501" s="2" t="inlineStr">
        <is>
          <t>Projeto Lei</t>
        </is>
      </c>
      <c r="B501" s="4" t="n"/>
      <c r="C501" s="2" t="n"/>
      <c r="D501" s="2" t="n"/>
      <c r="E501" s="2" t="n"/>
      <c r="F501" s="18" t="n"/>
      <c r="G501" s="10" t="n"/>
      <c r="H501" s="10" t="n"/>
      <c r="I501" s="4" t="n"/>
      <c r="J501" s="9" t="n"/>
      <c r="K501" s="4" t="n"/>
      <c r="L501" s="4" t="n"/>
      <c r="M501" s="4" t="n"/>
      <c r="N501" s="4" t="n"/>
      <c r="O501" s="4" t="n"/>
      <c r="P501" s="4" t="n"/>
      <c r="Q501" s="12" t="n"/>
      <c r="R501" s="2" t="n"/>
      <c r="S501" s="4" t="n"/>
      <c r="T501" s="4" t="n"/>
      <c r="U501" s="7" t="n"/>
      <c r="V501" s="3" t="n"/>
      <c r="W501" s="3">
        <f>RIGHT(C501, 4)</f>
        <v/>
      </c>
      <c r="X501" s="3">
        <f>LEFT(C501, LEN(C501) - 5)</f>
        <v/>
      </c>
    </row>
    <row r="502">
      <c r="A502" s="2" t="inlineStr">
        <is>
          <t>Projeto Lei</t>
        </is>
      </c>
      <c r="B502" s="4" t="n"/>
      <c r="C502" s="2" t="n"/>
      <c r="D502" s="2" t="n"/>
      <c r="E502" s="2" t="n"/>
      <c r="F502" s="18" t="n"/>
      <c r="G502" s="10" t="n"/>
      <c r="H502" s="10" t="n"/>
      <c r="I502" s="4" t="n"/>
      <c r="J502" s="9" t="n"/>
      <c r="K502" s="4" t="n"/>
      <c r="L502" s="4" t="n"/>
      <c r="M502" s="4" t="n"/>
      <c r="N502" s="4" t="n"/>
      <c r="O502" s="4" t="n"/>
      <c r="P502" s="4" t="n"/>
      <c r="Q502" s="12" t="n"/>
      <c r="R502" s="2" t="n"/>
      <c r="S502" s="4" t="n"/>
      <c r="T502" s="4" t="n"/>
      <c r="U502" s="7" t="n"/>
      <c r="V502" s="3" t="n"/>
      <c r="W502" s="3">
        <f>RIGHT(C502, 4)</f>
        <v/>
      </c>
      <c r="X502" s="3">
        <f>LEFT(C502, LEN(C502) - 5)</f>
        <v/>
      </c>
    </row>
    <row r="503">
      <c r="A503" s="2" t="inlineStr">
        <is>
          <t>Projeto Lei</t>
        </is>
      </c>
      <c r="B503" s="4" t="n"/>
      <c r="C503" s="2" t="n"/>
      <c r="D503" s="2" t="n"/>
      <c r="E503" s="2" t="n"/>
      <c r="F503" s="18" t="n"/>
      <c r="G503" s="10" t="n"/>
      <c r="H503" s="10" t="n"/>
      <c r="I503" s="4" t="n"/>
      <c r="J503" s="9" t="n"/>
      <c r="K503" s="4" t="n"/>
      <c r="L503" s="4" t="n"/>
      <c r="M503" s="4" t="n"/>
      <c r="N503" s="4" t="n"/>
      <c r="O503" s="4" t="n"/>
      <c r="P503" s="4" t="n"/>
      <c r="Q503" s="12" t="n"/>
      <c r="R503" s="2" t="n"/>
      <c r="S503" s="4" t="n"/>
      <c r="T503" s="4" t="n"/>
      <c r="U503" s="7" t="n"/>
      <c r="V503" s="3" t="n"/>
      <c r="W503" s="3">
        <f>RIGHT(C503, 4)</f>
        <v/>
      </c>
      <c r="X503" s="3">
        <f>LEFT(C503, LEN(C503) - 5)</f>
        <v/>
      </c>
    </row>
    <row r="504">
      <c r="A504" s="2" t="inlineStr">
        <is>
          <t>Projeto Lei</t>
        </is>
      </c>
      <c r="B504" s="4" t="n"/>
      <c r="C504" s="2" t="n"/>
      <c r="D504" s="2" t="n"/>
      <c r="E504" s="2" t="n"/>
      <c r="F504" s="18" t="n"/>
      <c r="G504" s="10" t="n"/>
      <c r="H504" s="10" t="n"/>
      <c r="I504" s="4" t="n"/>
      <c r="J504" s="9" t="n"/>
      <c r="K504" s="4" t="n"/>
      <c r="L504" s="4" t="n"/>
      <c r="M504" s="4" t="n"/>
      <c r="N504" s="4" t="n"/>
      <c r="O504" s="4" t="n"/>
      <c r="P504" s="4" t="n"/>
      <c r="Q504" s="12" t="n"/>
      <c r="R504" s="2" t="n"/>
      <c r="S504" s="4" t="n"/>
      <c r="T504" s="4" t="n"/>
      <c r="U504" s="7" t="n"/>
      <c r="V504" s="3" t="n"/>
      <c r="W504" s="3">
        <f>RIGHT(C504, 4)</f>
        <v/>
      </c>
      <c r="X504" s="3">
        <f>LEFT(C504, LEN(C504) - 5)</f>
        <v/>
      </c>
    </row>
    <row r="505">
      <c r="A505" s="2" t="inlineStr">
        <is>
          <t>Projeto Lei</t>
        </is>
      </c>
      <c r="B505" s="4" t="n"/>
      <c r="C505" s="2" t="n"/>
      <c r="D505" s="2" t="n"/>
      <c r="E505" s="2" t="n"/>
      <c r="F505" s="18" t="n"/>
      <c r="G505" s="10" t="n"/>
      <c r="H505" s="10" t="n"/>
      <c r="I505" s="4" t="n"/>
      <c r="J505" s="9" t="n"/>
      <c r="K505" s="4" t="n"/>
      <c r="L505" s="4" t="n"/>
      <c r="M505" s="4" t="n"/>
      <c r="N505" s="4" t="n"/>
      <c r="O505" s="4" t="n"/>
      <c r="P505" s="4" t="n"/>
      <c r="Q505" s="12" t="n"/>
      <c r="R505" s="2" t="n"/>
      <c r="S505" s="4" t="n"/>
      <c r="T505" s="4" t="n"/>
      <c r="U505" s="7" t="n"/>
      <c r="V505" s="3" t="n"/>
      <c r="W505" s="3">
        <f>RIGHT(C505, 4)</f>
        <v/>
      </c>
      <c r="X505" s="3">
        <f>LEFT(C505, LEN(C505) - 5)</f>
        <v/>
      </c>
    </row>
    <row r="506">
      <c r="A506" s="2" t="inlineStr">
        <is>
          <t>Projeto Lei</t>
        </is>
      </c>
      <c r="B506" s="4" t="n"/>
      <c r="C506" s="2" t="n"/>
      <c r="D506" s="2" t="n"/>
      <c r="E506" s="2" t="n"/>
      <c r="F506" s="18" t="n"/>
      <c r="G506" s="10" t="n"/>
      <c r="H506" s="10" t="n"/>
      <c r="I506" s="4" t="n"/>
      <c r="J506" s="9" t="n"/>
      <c r="K506" s="4" t="n"/>
      <c r="L506" s="4" t="n"/>
      <c r="M506" s="4" t="n"/>
      <c r="N506" s="4" t="n"/>
      <c r="O506" s="4" t="n"/>
      <c r="P506" s="4" t="n"/>
      <c r="Q506" s="12" t="n"/>
      <c r="R506" s="2" t="n"/>
      <c r="S506" s="4" t="n"/>
      <c r="T506" s="4" t="n"/>
      <c r="U506" s="7" t="n"/>
      <c r="V506" s="3" t="n"/>
      <c r="W506" s="3">
        <f>RIGHT(C506, 4)</f>
        <v/>
      </c>
      <c r="X506" s="3">
        <f>LEFT(C506, LEN(C506) - 5)</f>
        <v/>
      </c>
    </row>
    <row r="507">
      <c r="A507" s="2" t="inlineStr">
        <is>
          <t>Projeto Lei</t>
        </is>
      </c>
      <c r="B507" s="4" t="n"/>
      <c r="C507" s="2" t="n"/>
      <c r="D507" s="2" t="n"/>
      <c r="E507" s="2" t="n"/>
      <c r="F507" s="18" t="n"/>
      <c r="G507" s="10" t="n"/>
      <c r="H507" s="10" t="n"/>
      <c r="I507" s="4" t="n"/>
      <c r="J507" s="9" t="n"/>
      <c r="K507" s="4" t="n"/>
      <c r="L507" s="4" t="n"/>
      <c r="M507" s="4" t="n"/>
      <c r="N507" s="4" t="n"/>
      <c r="O507" s="4" t="n"/>
      <c r="P507" s="4" t="n"/>
      <c r="Q507" s="12" t="n"/>
      <c r="R507" s="2" t="n"/>
      <c r="S507" s="4" t="n"/>
      <c r="T507" s="4" t="n"/>
      <c r="U507" s="7" t="n"/>
      <c r="V507" s="3" t="n"/>
      <c r="W507" s="3">
        <f>RIGHT(C507, 4)</f>
        <v/>
      </c>
      <c r="X507" s="3">
        <f>LEFT(C507, LEN(C507) - 5)</f>
        <v/>
      </c>
    </row>
    <row r="508">
      <c r="A508" s="2" t="inlineStr">
        <is>
          <t>Projeto Lei</t>
        </is>
      </c>
      <c r="B508" s="4" t="n"/>
      <c r="C508" s="2" t="n"/>
      <c r="D508" s="2" t="n"/>
      <c r="E508" s="2" t="n"/>
      <c r="F508" s="18" t="n"/>
      <c r="G508" s="10" t="n"/>
      <c r="H508" s="10" t="n"/>
      <c r="I508" s="4" t="n"/>
      <c r="J508" s="9" t="n"/>
      <c r="K508" s="4" t="n"/>
      <c r="L508" s="4" t="n"/>
      <c r="M508" s="4" t="n"/>
      <c r="N508" s="4" t="n"/>
      <c r="O508" s="4" t="n"/>
      <c r="P508" s="4" t="n"/>
      <c r="Q508" s="12" t="n"/>
      <c r="R508" s="2" t="n"/>
      <c r="S508" s="4" t="n"/>
      <c r="T508" s="4" t="n"/>
      <c r="U508" s="7" t="n"/>
      <c r="V508" s="3" t="n"/>
      <c r="W508" s="3">
        <f>RIGHT(C508, 4)</f>
        <v/>
      </c>
      <c r="X508" s="3">
        <f>LEFT(C508, LEN(C508) - 5)</f>
        <v/>
      </c>
    </row>
    <row r="509">
      <c r="A509" s="2" t="inlineStr">
        <is>
          <t>Projeto Lei</t>
        </is>
      </c>
      <c r="B509" s="4" t="n"/>
      <c r="C509" s="2" t="n"/>
      <c r="D509" s="2" t="n"/>
      <c r="E509" s="2" t="n"/>
      <c r="F509" s="18" t="n"/>
      <c r="G509" s="10" t="n"/>
      <c r="H509" s="10" t="n"/>
      <c r="I509" s="4" t="n"/>
      <c r="J509" s="9" t="n"/>
      <c r="K509" s="4" t="n"/>
      <c r="L509" s="4" t="n"/>
      <c r="M509" s="4" t="n"/>
      <c r="N509" s="4" t="n"/>
      <c r="O509" s="4" t="n"/>
      <c r="P509" s="4" t="n"/>
      <c r="Q509" s="12" t="n"/>
      <c r="R509" s="2" t="n"/>
      <c r="S509" s="4" t="n"/>
      <c r="T509" s="4" t="n"/>
      <c r="U509" s="7" t="n"/>
      <c r="V509" s="3" t="n"/>
      <c r="W509" s="3">
        <f>RIGHT(C509, 4)</f>
        <v/>
      </c>
      <c r="X509" s="3">
        <f>LEFT(C509, LEN(C509) - 5)</f>
        <v/>
      </c>
    </row>
    <row r="510">
      <c r="A510" s="2" t="inlineStr">
        <is>
          <t>Projeto Lei</t>
        </is>
      </c>
      <c r="B510" s="4" t="n"/>
      <c r="C510" s="2" t="n"/>
      <c r="D510" s="2" t="n"/>
      <c r="E510" s="2" t="n"/>
      <c r="F510" s="18" t="n"/>
      <c r="G510" s="10" t="n"/>
      <c r="H510" s="10" t="n"/>
      <c r="I510" s="4" t="n"/>
      <c r="J510" s="9" t="n"/>
      <c r="K510" s="4" t="n"/>
      <c r="L510" s="4" t="n"/>
      <c r="M510" s="4" t="n"/>
      <c r="N510" s="4" t="n"/>
      <c r="O510" s="4" t="n"/>
      <c r="P510" s="4" t="n"/>
      <c r="Q510" s="12" t="n"/>
      <c r="R510" s="2" t="n"/>
      <c r="S510" s="4" t="n"/>
      <c r="T510" s="4" t="n"/>
      <c r="U510" s="7" t="n"/>
      <c r="V510" s="3" t="n"/>
      <c r="W510" s="3">
        <f>RIGHT(C510, 4)</f>
        <v/>
      </c>
      <c r="X510" s="3">
        <f>LEFT(C510, LEN(C510) - 5)</f>
        <v/>
      </c>
    </row>
    <row r="511">
      <c r="A511" s="2" t="inlineStr">
        <is>
          <t>Projeto Lei</t>
        </is>
      </c>
      <c r="B511" s="4" t="n"/>
      <c r="C511" s="2" t="n"/>
      <c r="D511" s="2" t="n"/>
      <c r="E511" s="2" t="n"/>
      <c r="F511" s="18" t="n"/>
      <c r="G511" s="10" t="n"/>
      <c r="H511" s="10" t="n"/>
      <c r="I511" s="4" t="n"/>
      <c r="J511" s="9" t="n"/>
      <c r="K511" s="4" t="n"/>
      <c r="L511" s="4" t="n"/>
      <c r="M511" s="4" t="n"/>
      <c r="N511" s="4" t="n"/>
      <c r="O511" s="4" t="n"/>
      <c r="P511" s="4" t="n"/>
      <c r="Q511" s="12" t="n"/>
      <c r="R511" s="2" t="n"/>
      <c r="S511" s="4" t="n"/>
      <c r="T511" s="4" t="n"/>
      <c r="U511" s="7" t="n"/>
      <c r="V511" s="3" t="n"/>
      <c r="W511" s="3">
        <f>RIGHT(C511, 4)</f>
        <v/>
      </c>
      <c r="X511" s="3">
        <f>LEFT(C511, LEN(C511) - 5)</f>
        <v/>
      </c>
    </row>
    <row r="512">
      <c r="A512" s="2" t="inlineStr">
        <is>
          <t>Projeto Lei</t>
        </is>
      </c>
      <c r="B512" s="4" t="n"/>
      <c r="C512" s="2" t="n"/>
      <c r="D512" s="2" t="n"/>
      <c r="E512" s="2" t="n"/>
      <c r="F512" s="18" t="n"/>
      <c r="G512" s="10" t="n"/>
      <c r="H512" s="10" t="n"/>
      <c r="I512" s="4" t="n"/>
      <c r="J512" s="9" t="n"/>
      <c r="K512" s="4" t="n"/>
      <c r="L512" s="4" t="n"/>
      <c r="M512" s="4" t="n"/>
      <c r="N512" s="4" t="n"/>
      <c r="O512" s="4" t="n"/>
      <c r="P512" s="4" t="n"/>
      <c r="Q512" s="12" t="n"/>
      <c r="R512" s="2" t="n"/>
      <c r="S512" s="4" t="n"/>
      <c r="T512" s="4" t="n"/>
      <c r="U512" s="7" t="n"/>
      <c r="V512" s="3" t="n"/>
      <c r="W512" s="3">
        <f>RIGHT(C512, 4)</f>
        <v/>
      </c>
      <c r="X512" s="3">
        <f>LEFT(C512, LEN(C512) - 5)</f>
        <v/>
      </c>
    </row>
    <row r="513">
      <c r="A513" s="2" t="inlineStr">
        <is>
          <t>Projeto Lei</t>
        </is>
      </c>
      <c r="B513" s="4" t="n"/>
      <c r="C513" s="2" t="n"/>
      <c r="D513" s="2" t="n"/>
      <c r="E513" s="2" t="n"/>
      <c r="F513" s="18" t="n"/>
      <c r="G513" s="10" t="n"/>
      <c r="H513" s="10" t="n"/>
      <c r="I513" s="4" t="n"/>
      <c r="J513" s="9" t="n"/>
      <c r="K513" s="4" t="n"/>
      <c r="L513" s="4" t="n"/>
      <c r="M513" s="4" t="n"/>
      <c r="N513" s="4" t="n"/>
      <c r="O513" s="4" t="n"/>
      <c r="P513" s="4" t="n"/>
      <c r="Q513" s="12" t="n"/>
      <c r="R513" s="2" t="n"/>
      <c r="S513" s="4" t="n"/>
      <c r="T513" s="4" t="n"/>
      <c r="U513" s="7" t="n"/>
      <c r="V513" s="3" t="n"/>
      <c r="W513" s="3">
        <f>RIGHT(C513, 4)</f>
        <v/>
      </c>
      <c r="X513" s="3">
        <f>LEFT(C513, LEN(C513) - 5)</f>
        <v/>
      </c>
    </row>
    <row r="514">
      <c r="A514" s="2" t="inlineStr">
        <is>
          <t>Projeto Lei</t>
        </is>
      </c>
      <c r="B514" s="4" t="n"/>
      <c r="C514" s="2" t="n"/>
      <c r="D514" s="2" t="n"/>
      <c r="E514" s="2" t="n"/>
      <c r="F514" s="18" t="n"/>
      <c r="G514" s="10" t="n"/>
      <c r="H514" s="10" t="n"/>
      <c r="I514" s="4" t="n"/>
      <c r="J514" s="9" t="n"/>
      <c r="K514" s="4" t="n"/>
      <c r="L514" s="4" t="n"/>
      <c r="M514" s="4" t="n"/>
      <c r="N514" s="4" t="n"/>
      <c r="O514" s="4" t="n"/>
      <c r="P514" s="4" t="n"/>
      <c r="Q514" s="12" t="n"/>
      <c r="R514" s="2" t="n"/>
      <c r="S514" s="4" t="n"/>
      <c r="T514" s="4" t="n"/>
      <c r="U514" s="7" t="n"/>
      <c r="V514" s="3" t="n"/>
      <c r="W514" s="3">
        <f>RIGHT(C514, 4)</f>
        <v/>
      </c>
      <c r="X514" s="3">
        <f>LEFT(C514, LEN(C514) - 5)</f>
        <v/>
      </c>
    </row>
    <row r="515">
      <c r="A515" s="2" t="inlineStr">
        <is>
          <t>Projeto Lei</t>
        </is>
      </c>
      <c r="B515" s="4" t="n"/>
      <c r="C515" s="2" t="n"/>
      <c r="D515" s="2" t="n"/>
      <c r="E515" s="2" t="n"/>
      <c r="F515" s="18" t="n"/>
      <c r="G515" s="10" t="n"/>
      <c r="H515" s="10" t="n"/>
      <c r="I515" s="4" t="n"/>
      <c r="J515" s="9" t="n"/>
      <c r="K515" s="4" t="n"/>
      <c r="L515" s="4" t="n"/>
      <c r="M515" s="4" t="n"/>
      <c r="N515" s="4" t="n"/>
      <c r="O515" s="4" t="n"/>
      <c r="P515" s="4" t="n"/>
      <c r="Q515" s="12" t="n"/>
      <c r="R515" s="2" t="n"/>
      <c r="S515" s="4" t="n"/>
      <c r="T515" s="4" t="n"/>
      <c r="U515" s="7" t="n"/>
      <c r="V515" s="3" t="n"/>
      <c r="W515" s="3">
        <f>RIGHT(C515, 4)</f>
        <v/>
      </c>
      <c r="X515" s="3">
        <f>LEFT(C515, LEN(C515) - 5)</f>
        <v/>
      </c>
    </row>
    <row r="516">
      <c r="A516" s="2" t="inlineStr">
        <is>
          <t>Projeto Lei</t>
        </is>
      </c>
      <c r="B516" s="4" t="n"/>
      <c r="C516" s="2" t="n"/>
      <c r="D516" s="2" t="n"/>
      <c r="E516" s="2" t="n"/>
      <c r="F516" s="18" t="n"/>
      <c r="G516" s="10" t="n"/>
      <c r="H516" s="10" t="n"/>
      <c r="I516" s="4" t="n"/>
      <c r="J516" s="9" t="n"/>
      <c r="K516" s="4" t="n"/>
      <c r="L516" s="4" t="n"/>
      <c r="M516" s="4" t="n"/>
      <c r="N516" s="4" t="n"/>
      <c r="O516" s="4" t="n"/>
      <c r="P516" s="4" t="n"/>
      <c r="Q516" s="12" t="n"/>
      <c r="R516" s="2" t="n"/>
      <c r="S516" s="4" t="n"/>
      <c r="T516" s="4" t="n"/>
      <c r="U516" s="7" t="n"/>
      <c r="V516" s="3" t="n"/>
      <c r="W516" s="3">
        <f>RIGHT(C516, 4)</f>
        <v/>
      </c>
      <c r="X516" s="3">
        <f>LEFT(C516, LEN(C516) - 5)</f>
        <v/>
      </c>
    </row>
    <row r="517">
      <c r="A517" s="2" t="inlineStr">
        <is>
          <t>Projeto Lei</t>
        </is>
      </c>
      <c r="B517" s="4" t="n"/>
      <c r="C517" s="2" t="n"/>
      <c r="D517" s="2" t="n"/>
      <c r="E517" s="2" t="n"/>
      <c r="F517" s="18" t="n"/>
      <c r="G517" s="10" t="n"/>
      <c r="H517" s="10" t="n"/>
      <c r="I517" s="4" t="n"/>
      <c r="J517" s="9" t="n"/>
      <c r="K517" s="4" t="n"/>
      <c r="L517" s="4" t="n"/>
      <c r="M517" s="4" t="n"/>
      <c r="N517" s="4" t="n"/>
      <c r="O517" s="4" t="n"/>
      <c r="P517" s="4" t="n"/>
      <c r="Q517" s="12" t="n"/>
      <c r="R517" s="2" t="n"/>
      <c r="S517" s="4" t="n"/>
      <c r="T517" s="4" t="n"/>
      <c r="U517" s="7" t="n"/>
      <c r="V517" s="3" t="n"/>
      <c r="W517" s="3">
        <f>RIGHT(C517, 4)</f>
        <v/>
      </c>
      <c r="X517" s="3">
        <f>LEFT(C517, LEN(C517) - 5)</f>
        <v/>
      </c>
    </row>
    <row r="518">
      <c r="A518" s="2" t="inlineStr">
        <is>
          <t>Projeto Lei</t>
        </is>
      </c>
      <c r="B518" s="4" t="n"/>
      <c r="C518" s="2" t="n"/>
      <c r="D518" s="2" t="n"/>
      <c r="E518" s="2" t="n"/>
      <c r="F518" s="18" t="n"/>
      <c r="G518" s="10" t="n"/>
      <c r="H518" s="10" t="n"/>
      <c r="I518" s="4" t="n"/>
      <c r="J518" s="9" t="n"/>
      <c r="K518" s="4" t="n"/>
      <c r="L518" s="4" t="n"/>
      <c r="M518" s="4" t="n"/>
      <c r="N518" s="4" t="n"/>
      <c r="O518" s="4" t="n"/>
      <c r="P518" s="4" t="n"/>
      <c r="Q518" s="12" t="n"/>
      <c r="R518" s="2" t="n"/>
      <c r="S518" s="4" t="n"/>
      <c r="T518" s="4" t="n"/>
      <c r="U518" s="7" t="n"/>
      <c r="V518" s="3" t="n"/>
      <c r="W518" s="3">
        <f>RIGHT(C518, 4)</f>
        <v/>
      </c>
      <c r="X518" s="3">
        <f>LEFT(C518, LEN(C518) - 5)</f>
        <v/>
      </c>
    </row>
    <row r="519">
      <c r="A519" s="2" t="inlineStr">
        <is>
          <t>Projeto Lei</t>
        </is>
      </c>
      <c r="B519" s="4" t="n"/>
      <c r="C519" s="2" t="n"/>
      <c r="D519" s="2" t="n"/>
      <c r="E519" s="2" t="n"/>
      <c r="F519" s="18" t="n"/>
      <c r="G519" s="10" t="n"/>
      <c r="H519" s="10" t="n"/>
      <c r="I519" s="4" t="n"/>
      <c r="J519" s="9" t="n"/>
      <c r="K519" s="4" t="n"/>
      <c r="L519" s="4" t="n"/>
      <c r="M519" s="4" t="n"/>
      <c r="N519" s="4" t="n"/>
      <c r="O519" s="4" t="n"/>
      <c r="P519" s="4" t="n"/>
      <c r="Q519" s="12" t="n"/>
      <c r="R519" s="2" t="n"/>
      <c r="S519" s="4" t="n"/>
      <c r="T519" s="4" t="n"/>
      <c r="U519" s="7" t="n"/>
      <c r="V519" s="3" t="n"/>
      <c r="W519" s="3">
        <f>RIGHT(C519, 4)</f>
        <v/>
      </c>
      <c r="X519" s="3">
        <f>LEFT(C519, LEN(C519) - 5)</f>
        <v/>
      </c>
    </row>
    <row r="520">
      <c r="A520" s="2" t="inlineStr">
        <is>
          <t>Projeto Lei</t>
        </is>
      </c>
      <c r="B520" s="4" t="n"/>
      <c r="C520" s="2" t="n"/>
      <c r="D520" s="2" t="n"/>
      <c r="E520" s="2" t="n"/>
      <c r="F520" s="18" t="n"/>
      <c r="G520" s="10" t="n"/>
      <c r="H520" s="10" t="n"/>
      <c r="I520" s="4" t="n"/>
      <c r="J520" s="43" t="n"/>
      <c r="K520" s="4" t="n"/>
      <c r="L520" s="4" t="n"/>
      <c r="M520" s="4" t="n"/>
      <c r="N520" s="4" t="n"/>
      <c r="O520" s="4" t="n"/>
      <c r="P520" s="4" t="n"/>
      <c r="Q520" s="12" t="n"/>
      <c r="R520" s="2" t="n"/>
      <c r="S520" s="4" t="n"/>
      <c r="T520" s="4" t="n"/>
      <c r="U520" s="7" t="n"/>
      <c r="V520" s="3" t="n"/>
      <c r="W520" s="3">
        <f>RIGHT(C520, 4)</f>
        <v/>
      </c>
      <c r="X520" s="3">
        <f>LEFT(C520, LEN(C520) - 5)</f>
        <v/>
      </c>
    </row>
  </sheetData>
  <autoFilter ref="A1:U520"/>
  <conditionalFormatting sqref="A2:A520">
    <cfRule type="containsText" priority="6" operator="containsText" dxfId="5" text="Processo">
      <formula>NOT(ISERROR(SEARCH("Processo",A2)))</formula>
    </cfRule>
    <cfRule type="containsText" priority="7" operator="containsText" dxfId="4" text="Projeto Lei">
      <formula>NOT(ISERROR(SEARCH("Projeto Lei",A2)))</formula>
    </cfRule>
  </conditionalFormatting>
  <hyperlinks>
    <hyperlink xmlns:r="http://schemas.openxmlformats.org/officeDocument/2006/relationships" ref="C2" r:id="rId1"/>
    <hyperlink xmlns:r="http://schemas.openxmlformats.org/officeDocument/2006/relationships" ref="C3" r:id="rId2"/>
    <hyperlink xmlns:r="http://schemas.openxmlformats.org/officeDocument/2006/relationships" ref="C4" r:id="rId3"/>
    <hyperlink xmlns:r="http://schemas.openxmlformats.org/officeDocument/2006/relationships" ref="C5" r:id="rId4"/>
    <hyperlink xmlns:r="http://schemas.openxmlformats.org/officeDocument/2006/relationships" ref="C6" r:id="rId5"/>
    <hyperlink xmlns:r="http://schemas.openxmlformats.org/officeDocument/2006/relationships" ref="C7" r:id="rId6"/>
    <hyperlink xmlns:r="http://schemas.openxmlformats.org/officeDocument/2006/relationships" ref="C8" r:id="rId7"/>
    <hyperlink xmlns:r="http://schemas.openxmlformats.org/officeDocument/2006/relationships" ref="C9" r:id="rId8"/>
    <hyperlink xmlns:r="http://schemas.openxmlformats.org/officeDocument/2006/relationships" ref="C10" r:id="rId9"/>
    <hyperlink xmlns:r="http://schemas.openxmlformats.org/officeDocument/2006/relationships" ref="C11" r:id="rId10"/>
    <hyperlink xmlns:r="http://schemas.openxmlformats.org/officeDocument/2006/relationships" ref="C12" r:id="rId11"/>
    <hyperlink xmlns:r="http://schemas.openxmlformats.org/officeDocument/2006/relationships" ref="C13" r:id="rId12"/>
    <hyperlink xmlns:r="http://schemas.openxmlformats.org/officeDocument/2006/relationships" ref="C14" r:id="rId13"/>
    <hyperlink xmlns:r="http://schemas.openxmlformats.org/officeDocument/2006/relationships" ref="C15" r:id="rId14"/>
    <hyperlink xmlns:r="http://schemas.openxmlformats.org/officeDocument/2006/relationships" ref="C16" r:id="rId15"/>
    <hyperlink xmlns:r="http://schemas.openxmlformats.org/officeDocument/2006/relationships" ref="C17" r:id="rId16"/>
    <hyperlink xmlns:r="http://schemas.openxmlformats.org/officeDocument/2006/relationships" ref="C18" r:id="rId17"/>
    <hyperlink xmlns:r="http://schemas.openxmlformats.org/officeDocument/2006/relationships" ref="A19" display="http://alerjln1.alerj.rj.gov.br/scpro2327.nsf/18c1dd68f96be3e7832566ec0018d833/14af067763c10685032589a40063cd23?OpenDocument" r:id="rId18"/>
    <hyperlink xmlns:r="http://schemas.openxmlformats.org/officeDocument/2006/relationships" ref="C19" r:id="rId19"/>
    <hyperlink xmlns:r="http://schemas.openxmlformats.org/officeDocument/2006/relationships" ref="C20" r:id="rId20"/>
    <hyperlink xmlns:r="http://schemas.openxmlformats.org/officeDocument/2006/relationships" ref="C21" r:id="rId21"/>
    <hyperlink xmlns:r="http://schemas.openxmlformats.org/officeDocument/2006/relationships" ref="A22" display="http://alerjln1.alerj.rj.gov.br/scpro1923.nsf/18c1dd68f96be3e7832566ec0018d833/c3ab1fe3efa96fc5032586f500419f82?OpenDocument" r:id="rId22"/>
    <hyperlink xmlns:r="http://schemas.openxmlformats.org/officeDocument/2006/relationships" ref="C22" r:id="rId23"/>
    <hyperlink xmlns:r="http://schemas.openxmlformats.org/officeDocument/2006/relationships" ref="C23" r:id="rId24"/>
    <hyperlink xmlns:r="http://schemas.openxmlformats.org/officeDocument/2006/relationships" ref="C24" r:id="rId25"/>
    <hyperlink xmlns:r="http://schemas.openxmlformats.org/officeDocument/2006/relationships" ref="C32" r:id="rId26"/>
    <hyperlink xmlns:r="http://schemas.openxmlformats.org/officeDocument/2006/relationships" ref="C50" r:id="rId27"/>
    <hyperlink xmlns:r="http://schemas.openxmlformats.org/officeDocument/2006/relationships" ref="C51" r:id="rId28"/>
    <hyperlink xmlns:r="http://schemas.openxmlformats.org/officeDocument/2006/relationships" ref="C52" r:id="rId29"/>
    <hyperlink xmlns:r="http://schemas.openxmlformats.org/officeDocument/2006/relationships" ref="C53" r:id="rId30"/>
    <hyperlink xmlns:r="http://schemas.openxmlformats.org/officeDocument/2006/relationships" ref="C54" r:id="rId31"/>
    <hyperlink xmlns:r="http://schemas.openxmlformats.org/officeDocument/2006/relationships" ref="C60" r:id="rId32"/>
    <hyperlink xmlns:r="http://schemas.openxmlformats.org/officeDocument/2006/relationships" ref="C61" r:id="rId33"/>
    <hyperlink xmlns:r="http://schemas.openxmlformats.org/officeDocument/2006/relationships" ref="C71" r:id="rId34"/>
    <hyperlink xmlns:r="http://schemas.openxmlformats.org/officeDocument/2006/relationships" ref="C80" r:id="rId35"/>
    <hyperlink xmlns:r="http://schemas.openxmlformats.org/officeDocument/2006/relationships" ref="C85" r:id="rId36"/>
    <hyperlink xmlns:r="http://schemas.openxmlformats.org/officeDocument/2006/relationships" ref="C87" r:id="rId37"/>
    <hyperlink xmlns:r="http://schemas.openxmlformats.org/officeDocument/2006/relationships" ref="C88" r:id="rId38"/>
    <hyperlink xmlns:r="http://schemas.openxmlformats.org/officeDocument/2006/relationships" ref="C89" display="229/2023" r:id="rId39"/>
    <hyperlink xmlns:r="http://schemas.openxmlformats.org/officeDocument/2006/relationships" ref="C90" r:id="rId40"/>
    <hyperlink xmlns:r="http://schemas.openxmlformats.org/officeDocument/2006/relationships" ref="C91" r:id="rId41"/>
    <hyperlink xmlns:r="http://schemas.openxmlformats.org/officeDocument/2006/relationships" ref="C92" r:id="rId42"/>
    <hyperlink xmlns:r="http://schemas.openxmlformats.org/officeDocument/2006/relationships" ref="C93" r:id="rId43"/>
    <hyperlink xmlns:r="http://schemas.openxmlformats.org/officeDocument/2006/relationships" ref="C94" r:id="rId44"/>
    <hyperlink xmlns:r="http://schemas.openxmlformats.org/officeDocument/2006/relationships" ref="C95" r:id="rId45"/>
    <hyperlink xmlns:r="http://schemas.openxmlformats.org/officeDocument/2006/relationships" ref="C102" r:id="rId46"/>
    <hyperlink xmlns:r="http://schemas.openxmlformats.org/officeDocument/2006/relationships" ref="C107" r:id="rId47"/>
    <hyperlink xmlns:r="http://schemas.openxmlformats.org/officeDocument/2006/relationships" ref="C110" r:id="rId48"/>
    <hyperlink xmlns:r="http://schemas.openxmlformats.org/officeDocument/2006/relationships" ref="C114" r:id="rId49"/>
    <hyperlink xmlns:r="http://schemas.openxmlformats.org/officeDocument/2006/relationships" ref="C115" r:id="rId50"/>
    <hyperlink xmlns:r="http://schemas.openxmlformats.org/officeDocument/2006/relationships" ref="C116" r:id="rId51"/>
    <hyperlink xmlns:r="http://schemas.openxmlformats.org/officeDocument/2006/relationships" ref="C117" r:id="rId52"/>
    <hyperlink xmlns:r="http://schemas.openxmlformats.org/officeDocument/2006/relationships" ref="C119" r:id="rId53"/>
    <hyperlink xmlns:r="http://schemas.openxmlformats.org/officeDocument/2006/relationships" ref="C120" r:id="rId54"/>
    <hyperlink xmlns:r="http://schemas.openxmlformats.org/officeDocument/2006/relationships" ref="C122" r:id="rId55"/>
    <hyperlink xmlns:r="http://schemas.openxmlformats.org/officeDocument/2006/relationships" ref="V122" r:id="rId56"/>
    <hyperlink xmlns:r="http://schemas.openxmlformats.org/officeDocument/2006/relationships" ref="C123" r:id="rId57"/>
    <hyperlink xmlns:r="http://schemas.openxmlformats.org/officeDocument/2006/relationships" ref="V123" r:id="rId58"/>
    <hyperlink xmlns:r="http://schemas.openxmlformats.org/officeDocument/2006/relationships" ref="V124" r:id="rId59"/>
    <hyperlink xmlns:r="http://schemas.openxmlformats.org/officeDocument/2006/relationships" ref="V125" r:id="rId60"/>
    <hyperlink xmlns:r="http://schemas.openxmlformats.org/officeDocument/2006/relationships" ref="C152" r:id="rId61"/>
    <hyperlink xmlns:r="http://schemas.openxmlformats.org/officeDocument/2006/relationships" ref="C153" r:id="rId62"/>
    <hyperlink xmlns:r="http://schemas.openxmlformats.org/officeDocument/2006/relationships" ref="C155" r:id="rId63"/>
    <hyperlink xmlns:r="http://schemas.openxmlformats.org/officeDocument/2006/relationships" ref="C159" r:id="rId64"/>
    <hyperlink xmlns:r="http://schemas.openxmlformats.org/officeDocument/2006/relationships" ref="C160" r:id="rId65"/>
    <hyperlink xmlns:r="http://schemas.openxmlformats.org/officeDocument/2006/relationships" ref="C164" r:id="rId66"/>
    <hyperlink xmlns:r="http://schemas.openxmlformats.org/officeDocument/2006/relationships" ref="C165" r:id="rId67"/>
    <hyperlink xmlns:r="http://schemas.openxmlformats.org/officeDocument/2006/relationships" ref="C167" r:id="rId68"/>
    <hyperlink xmlns:r="http://schemas.openxmlformats.org/officeDocument/2006/relationships" ref="C171" r:id="rId69"/>
    <hyperlink xmlns:r="http://schemas.openxmlformats.org/officeDocument/2006/relationships" ref="C174" r:id="rId70"/>
    <hyperlink xmlns:r="http://schemas.openxmlformats.org/officeDocument/2006/relationships" ref="C175" r:id="rId71"/>
    <hyperlink xmlns:r="http://schemas.openxmlformats.org/officeDocument/2006/relationships" ref="C176" r:id="rId72"/>
    <hyperlink xmlns:r="http://schemas.openxmlformats.org/officeDocument/2006/relationships" ref="C177" r:id="rId73"/>
    <hyperlink xmlns:r="http://schemas.openxmlformats.org/officeDocument/2006/relationships" ref="C186" r:id="rId74"/>
    <hyperlink xmlns:r="http://schemas.openxmlformats.org/officeDocument/2006/relationships" ref="C187" r:id="rId75"/>
    <hyperlink xmlns:r="http://schemas.openxmlformats.org/officeDocument/2006/relationships" ref="C193" r:id="rId76"/>
    <hyperlink xmlns:r="http://schemas.openxmlformats.org/officeDocument/2006/relationships" ref="C195" r:id="rId77"/>
    <hyperlink xmlns:r="http://schemas.openxmlformats.org/officeDocument/2006/relationships" ref="C200" r:id="rId78"/>
    <hyperlink xmlns:r="http://schemas.openxmlformats.org/officeDocument/2006/relationships" ref="C201" r:id="rId79"/>
    <hyperlink xmlns:r="http://schemas.openxmlformats.org/officeDocument/2006/relationships" ref="C210" r:id="rId80"/>
    <hyperlink xmlns:r="http://schemas.openxmlformats.org/officeDocument/2006/relationships" ref="C211" r:id="rId81"/>
    <hyperlink xmlns:r="http://schemas.openxmlformats.org/officeDocument/2006/relationships" ref="C212" r:id="rId82"/>
    <hyperlink xmlns:r="http://schemas.openxmlformats.org/officeDocument/2006/relationships" ref="C213" r:id="rId83"/>
    <hyperlink xmlns:r="http://schemas.openxmlformats.org/officeDocument/2006/relationships" ref="C214" r:id="rId84"/>
    <hyperlink xmlns:r="http://schemas.openxmlformats.org/officeDocument/2006/relationships" ref="C215" r:id="rId85"/>
    <hyperlink xmlns:r="http://schemas.openxmlformats.org/officeDocument/2006/relationships" ref="C216" r:id="rId86"/>
    <hyperlink xmlns:r="http://schemas.openxmlformats.org/officeDocument/2006/relationships" ref="C217" r:id="rId87"/>
    <hyperlink xmlns:r="http://schemas.openxmlformats.org/officeDocument/2006/relationships" ref="C218" r:id="rId88"/>
    <hyperlink xmlns:r="http://schemas.openxmlformats.org/officeDocument/2006/relationships" ref="C219" r:id="rId89"/>
    <hyperlink xmlns:r="http://schemas.openxmlformats.org/officeDocument/2006/relationships" ref="C220" r:id="rId90"/>
    <hyperlink xmlns:r="http://schemas.openxmlformats.org/officeDocument/2006/relationships" ref="C221" r:id="rId91"/>
    <hyperlink xmlns:r="http://schemas.openxmlformats.org/officeDocument/2006/relationships" ref="C222" r:id="rId92"/>
    <hyperlink xmlns:r="http://schemas.openxmlformats.org/officeDocument/2006/relationships" ref="C223" r:id="rId93"/>
    <hyperlink xmlns:r="http://schemas.openxmlformats.org/officeDocument/2006/relationships" ref="C224" r:id="rId94"/>
    <hyperlink xmlns:r="http://schemas.openxmlformats.org/officeDocument/2006/relationships" ref="C225" r:id="rId95"/>
    <hyperlink xmlns:r="http://schemas.openxmlformats.org/officeDocument/2006/relationships" ref="C226" r:id="rId96"/>
    <hyperlink xmlns:r="http://schemas.openxmlformats.org/officeDocument/2006/relationships" ref="C227" r:id="rId97"/>
    <hyperlink xmlns:r="http://schemas.openxmlformats.org/officeDocument/2006/relationships" ref="C228" r:id="rId98"/>
    <hyperlink xmlns:r="http://schemas.openxmlformats.org/officeDocument/2006/relationships" ref="C229" r:id="rId99"/>
    <hyperlink xmlns:r="http://schemas.openxmlformats.org/officeDocument/2006/relationships" ref="C230" r:id="rId100"/>
    <hyperlink xmlns:r="http://schemas.openxmlformats.org/officeDocument/2006/relationships" ref="C231" r:id="rId101"/>
    <hyperlink xmlns:r="http://schemas.openxmlformats.org/officeDocument/2006/relationships" ref="C232" r:id="rId102"/>
    <hyperlink xmlns:r="http://schemas.openxmlformats.org/officeDocument/2006/relationships" ref="C233" r:id="rId103"/>
    <hyperlink xmlns:r="http://schemas.openxmlformats.org/officeDocument/2006/relationships" ref="C234" r:id="rId104"/>
    <hyperlink xmlns:r="http://schemas.openxmlformats.org/officeDocument/2006/relationships" ref="C235" r:id="rId105"/>
    <hyperlink xmlns:r="http://schemas.openxmlformats.org/officeDocument/2006/relationships" ref="C236" r:id="rId106"/>
    <hyperlink xmlns:r="http://schemas.openxmlformats.org/officeDocument/2006/relationships" ref="C237" r:id="rId107"/>
    <hyperlink xmlns:r="http://schemas.openxmlformats.org/officeDocument/2006/relationships" ref="C238" r:id="rId108"/>
    <hyperlink xmlns:r="http://schemas.openxmlformats.org/officeDocument/2006/relationships" ref="C239" r:id="rId109"/>
    <hyperlink xmlns:r="http://schemas.openxmlformats.org/officeDocument/2006/relationships" ref="C240" r:id="rId110"/>
    <hyperlink xmlns:r="http://schemas.openxmlformats.org/officeDocument/2006/relationships" ref="C241" r:id="rId111"/>
    <hyperlink xmlns:r="http://schemas.openxmlformats.org/officeDocument/2006/relationships" ref="C242" r:id="rId112"/>
    <hyperlink xmlns:r="http://schemas.openxmlformats.org/officeDocument/2006/relationships" ref="C243" r:id="rId113"/>
    <hyperlink xmlns:r="http://schemas.openxmlformats.org/officeDocument/2006/relationships" ref="C244" r:id="rId114"/>
    <hyperlink xmlns:r="http://schemas.openxmlformats.org/officeDocument/2006/relationships" ref="C245" r:id="rId115"/>
    <hyperlink xmlns:r="http://schemas.openxmlformats.org/officeDocument/2006/relationships" ref="C246" r:id="rId116"/>
    <hyperlink xmlns:r="http://schemas.openxmlformats.org/officeDocument/2006/relationships" ref="V246" r:id="rId117"/>
    <hyperlink xmlns:r="http://schemas.openxmlformats.org/officeDocument/2006/relationships" ref="C247" r:id="rId118"/>
    <hyperlink xmlns:r="http://schemas.openxmlformats.org/officeDocument/2006/relationships" ref="C248" r:id="rId119"/>
    <hyperlink xmlns:r="http://schemas.openxmlformats.org/officeDocument/2006/relationships" ref="C249" r:id="rId120"/>
    <hyperlink xmlns:r="http://schemas.openxmlformats.org/officeDocument/2006/relationships" ref="C250" r:id="rId121"/>
    <hyperlink xmlns:r="http://schemas.openxmlformats.org/officeDocument/2006/relationships" ref="C251" r:id="rId122"/>
    <hyperlink xmlns:r="http://schemas.openxmlformats.org/officeDocument/2006/relationships" ref="C252" r:id="rId123"/>
    <hyperlink xmlns:r="http://schemas.openxmlformats.org/officeDocument/2006/relationships" ref="C253" r:id="rId124"/>
    <hyperlink xmlns:r="http://schemas.openxmlformats.org/officeDocument/2006/relationships" ref="C254" r:id="rId125"/>
    <hyperlink xmlns:r="http://schemas.openxmlformats.org/officeDocument/2006/relationships" ref="C255" r:id="rId126"/>
    <hyperlink xmlns:r="http://schemas.openxmlformats.org/officeDocument/2006/relationships" ref="C256" r:id="rId127"/>
    <hyperlink xmlns:r="http://schemas.openxmlformats.org/officeDocument/2006/relationships" ref="C257" r:id="rId128"/>
    <hyperlink xmlns:r="http://schemas.openxmlformats.org/officeDocument/2006/relationships" ref="C258" r:id="rId129"/>
    <hyperlink xmlns:r="http://schemas.openxmlformats.org/officeDocument/2006/relationships" ref="C259" r:id="rId130"/>
    <hyperlink xmlns:r="http://schemas.openxmlformats.org/officeDocument/2006/relationships" ref="C260" r:id="rId131"/>
    <hyperlink xmlns:r="http://schemas.openxmlformats.org/officeDocument/2006/relationships" ref="C261" r:id="rId132"/>
    <hyperlink xmlns:r="http://schemas.openxmlformats.org/officeDocument/2006/relationships" ref="C262" r:id="rId133"/>
    <hyperlink xmlns:r="http://schemas.openxmlformats.org/officeDocument/2006/relationships" ref="C263" r:id="rId134"/>
    <hyperlink xmlns:r="http://schemas.openxmlformats.org/officeDocument/2006/relationships" ref="C264" r:id="rId135"/>
    <hyperlink xmlns:r="http://schemas.openxmlformats.org/officeDocument/2006/relationships" ref="C265" r:id="rId136"/>
    <hyperlink xmlns:r="http://schemas.openxmlformats.org/officeDocument/2006/relationships" ref="C266" r:id="rId137"/>
    <hyperlink xmlns:r="http://schemas.openxmlformats.org/officeDocument/2006/relationships" ref="C267" r:id="rId138"/>
    <hyperlink xmlns:r="http://schemas.openxmlformats.org/officeDocument/2006/relationships" ref="C268" r:id="rId139"/>
    <hyperlink xmlns:r="http://schemas.openxmlformats.org/officeDocument/2006/relationships" ref="C269" r:id="rId140"/>
    <hyperlink xmlns:r="http://schemas.openxmlformats.org/officeDocument/2006/relationships" ref="C270" r:id="rId141"/>
    <hyperlink xmlns:r="http://schemas.openxmlformats.org/officeDocument/2006/relationships" ref="C271" r:id="rId142"/>
    <hyperlink xmlns:r="http://schemas.openxmlformats.org/officeDocument/2006/relationships" ref="C272" r:id="rId143"/>
    <hyperlink xmlns:r="http://schemas.openxmlformats.org/officeDocument/2006/relationships" ref="C273" r:id="rId144"/>
    <hyperlink xmlns:r="http://schemas.openxmlformats.org/officeDocument/2006/relationships" ref="C274" r:id="rId145"/>
    <hyperlink xmlns:r="http://schemas.openxmlformats.org/officeDocument/2006/relationships" ref="C275" r:id="rId146"/>
    <hyperlink xmlns:r="http://schemas.openxmlformats.org/officeDocument/2006/relationships" ref="C276" r:id="rId147"/>
    <hyperlink xmlns:r="http://schemas.openxmlformats.org/officeDocument/2006/relationships" ref="C277" r:id="rId148"/>
    <hyperlink xmlns:r="http://schemas.openxmlformats.org/officeDocument/2006/relationships" ref="C278" r:id="rId149"/>
    <hyperlink xmlns:r="http://schemas.openxmlformats.org/officeDocument/2006/relationships" ref="C279" r:id="rId150"/>
    <hyperlink xmlns:r="http://schemas.openxmlformats.org/officeDocument/2006/relationships" ref="C280" r:id="rId151"/>
    <hyperlink xmlns:r="http://schemas.openxmlformats.org/officeDocument/2006/relationships" ref="C281" r:id="rId152"/>
    <hyperlink xmlns:r="http://schemas.openxmlformats.org/officeDocument/2006/relationships" ref="C282" r:id="rId153"/>
    <hyperlink xmlns:r="http://schemas.openxmlformats.org/officeDocument/2006/relationships" ref="C283" r:id="rId154"/>
    <hyperlink xmlns:r="http://schemas.openxmlformats.org/officeDocument/2006/relationships" ref="C284" r:id="rId155"/>
    <hyperlink xmlns:r="http://schemas.openxmlformats.org/officeDocument/2006/relationships" ref="C285" r:id="rId156"/>
    <hyperlink xmlns:r="http://schemas.openxmlformats.org/officeDocument/2006/relationships" ref="C286" r:id="rId157"/>
    <hyperlink xmlns:r="http://schemas.openxmlformats.org/officeDocument/2006/relationships" ref="C287" r:id="rId158"/>
    <hyperlink xmlns:r="http://schemas.openxmlformats.org/officeDocument/2006/relationships" ref="C288" r:id="rId159"/>
    <hyperlink xmlns:r="http://schemas.openxmlformats.org/officeDocument/2006/relationships" ref="C289" r:id="rId160"/>
    <hyperlink xmlns:r="http://schemas.openxmlformats.org/officeDocument/2006/relationships" ref="C290" r:id="rId161"/>
    <hyperlink xmlns:r="http://schemas.openxmlformats.org/officeDocument/2006/relationships" ref="C291" r:id="rId162"/>
    <hyperlink xmlns:r="http://schemas.openxmlformats.org/officeDocument/2006/relationships" ref="C292" r:id="rId163"/>
    <hyperlink xmlns:r="http://schemas.openxmlformats.org/officeDocument/2006/relationships" ref="C293" r:id="rId164"/>
    <hyperlink xmlns:r="http://schemas.openxmlformats.org/officeDocument/2006/relationships" ref="C294" r:id="rId165"/>
    <hyperlink xmlns:r="http://schemas.openxmlformats.org/officeDocument/2006/relationships" ref="C295" r:id="rId166"/>
    <hyperlink xmlns:r="http://schemas.openxmlformats.org/officeDocument/2006/relationships" ref="C296" r:id="rId167"/>
    <hyperlink xmlns:r="http://schemas.openxmlformats.org/officeDocument/2006/relationships" ref="C297" r:id="rId168"/>
    <hyperlink xmlns:r="http://schemas.openxmlformats.org/officeDocument/2006/relationships" ref="C298" r:id="rId169"/>
    <hyperlink xmlns:r="http://schemas.openxmlformats.org/officeDocument/2006/relationships" ref="C299" r:id="rId170"/>
    <hyperlink xmlns:r="http://schemas.openxmlformats.org/officeDocument/2006/relationships" ref="C300" r:id="rId171"/>
    <hyperlink xmlns:r="http://schemas.openxmlformats.org/officeDocument/2006/relationships" ref="C301" r:id="rId172"/>
    <hyperlink xmlns:r="http://schemas.openxmlformats.org/officeDocument/2006/relationships" ref="C302" r:id="rId173"/>
    <hyperlink xmlns:r="http://schemas.openxmlformats.org/officeDocument/2006/relationships" ref="C303" r:id="rId174"/>
    <hyperlink xmlns:r="http://schemas.openxmlformats.org/officeDocument/2006/relationships" ref="C304" r:id="rId175"/>
    <hyperlink xmlns:r="http://schemas.openxmlformats.org/officeDocument/2006/relationships" ref="C305" r:id="rId176"/>
    <hyperlink xmlns:r="http://schemas.openxmlformats.org/officeDocument/2006/relationships" ref="C306" r:id="rId177"/>
    <hyperlink xmlns:r="http://schemas.openxmlformats.org/officeDocument/2006/relationships" ref="C307" r:id="rId178"/>
    <hyperlink xmlns:r="http://schemas.openxmlformats.org/officeDocument/2006/relationships" ref="C308" r:id="rId179"/>
    <hyperlink xmlns:r="http://schemas.openxmlformats.org/officeDocument/2006/relationships" ref="C309" r:id="rId180"/>
    <hyperlink xmlns:r="http://schemas.openxmlformats.org/officeDocument/2006/relationships" ref="C310" r:id="rId181"/>
    <hyperlink xmlns:r="http://schemas.openxmlformats.org/officeDocument/2006/relationships" ref="C311" r:id="rId182"/>
    <hyperlink xmlns:r="http://schemas.openxmlformats.org/officeDocument/2006/relationships" ref="C312" r:id="rId183"/>
    <hyperlink xmlns:r="http://schemas.openxmlformats.org/officeDocument/2006/relationships" ref="C313" r:id="rId184"/>
    <hyperlink xmlns:r="http://schemas.openxmlformats.org/officeDocument/2006/relationships" ref="C314" r:id="rId185"/>
    <hyperlink xmlns:r="http://schemas.openxmlformats.org/officeDocument/2006/relationships" ref="C315" r:id="rId186"/>
    <hyperlink xmlns:r="http://schemas.openxmlformats.org/officeDocument/2006/relationships" ref="C316" r:id="rId187"/>
    <hyperlink xmlns:r="http://schemas.openxmlformats.org/officeDocument/2006/relationships" ref="C317" r:id="rId188"/>
    <hyperlink xmlns:r="http://schemas.openxmlformats.org/officeDocument/2006/relationships" ref="C318" r:id="rId189"/>
    <hyperlink xmlns:r="http://schemas.openxmlformats.org/officeDocument/2006/relationships" ref="C319" r:id="rId190"/>
    <hyperlink xmlns:r="http://schemas.openxmlformats.org/officeDocument/2006/relationships" ref="C320" r:id="rId191"/>
    <hyperlink xmlns:r="http://schemas.openxmlformats.org/officeDocument/2006/relationships" ref="C321" r:id="rId192"/>
    <hyperlink xmlns:r="http://schemas.openxmlformats.org/officeDocument/2006/relationships" ref="C322" r:id="rId193"/>
    <hyperlink xmlns:r="http://schemas.openxmlformats.org/officeDocument/2006/relationships" ref="C323" r:id="rId194"/>
    <hyperlink xmlns:r="http://schemas.openxmlformats.org/officeDocument/2006/relationships" ref="C324" r:id="rId195"/>
    <hyperlink xmlns:r="http://schemas.openxmlformats.org/officeDocument/2006/relationships" ref="C325" r:id="rId196"/>
    <hyperlink xmlns:r="http://schemas.openxmlformats.org/officeDocument/2006/relationships" ref="C326" r:id="rId197"/>
    <hyperlink xmlns:r="http://schemas.openxmlformats.org/officeDocument/2006/relationships" ref="C327" r:id="rId198"/>
    <hyperlink xmlns:r="http://schemas.openxmlformats.org/officeDocument/2006/relationships" ref="C328" r:id="rId199"/>
    <hyperlink xmlns:r="http://schemas.openxmlformats.org/officeDocument/2006/relationships" ref="C329" r:id="rId200"/>
    <hyperlink xmlns:r="http://schemas.openxmlformats.org/officeDocument/2006/relationships" ref="C330" r:id="rId201"/>
    <hyperlink xmlns:r="http://schemas.openxmlformats.org/officeDocument/2006/relationships" ref="C331" r:id="rId202"/>
    <hyperlink xmlns:r="http://schemas.openxmlformats.org/officeDocument/2006/relationships" ref="C332" r:id="rId203"/>
    <hyperlink xmlns:r="http://schemas.openxmlformats.org/officeDocument/2006/relationships" ref="C333" r:id="rId204"/>
    <hyperlink xmlns:r="http://schemas.openxmlformats.org/officeDocument/2006/relationships" ref="C334" r:id="rId205"/>
    <hyperlink xmlns:r="http://schemas.openxmlformats.org/officeDocument/2006/relationships" ref="C335" r:id="rId206"/>
    <hyperlink xmlns:r="http://schemas.openxmlformats.org/officeDocument/2006/relationships" ref="C336" r:id="rId207"/>
    <hyperlink xmlns:r="http://schemas.openxmlformats.org/officeDocument/2006/relationships" ref="C337" r:id="rId208"/>
    <hyperlink xmlns:r="http://schemas.openxmlformats.org/officeDocument/2006/relationships" ref="C338" r:id="rId209"/>
    <hyperlink xmlns:r="http://schemas.openxmlformats.org/officeDocument/2006/relationships" ref="C339" r:id="rId210"/>
    <hyperlink xmlns:r="http://schemas.openxmlformats.org/officeDocument/2006/relationships" ref="C340" r:id="rId211"/>
    <hyperlink xmlns:r="http://schemas.openxmlformats.org/officeDocument/2006/relationships" ref="C341" r:id="rId212"/>
    <hyperlink xmlns:r="http://schemas.openxmlformats.org/officeDocument/2006/relationships" ref="C342" r:id="rId213"/>
    <hyperlink xmlns:r="http://schemas.openxmlformats.org/officeDocument/2006/relationships" ref="C343" r:id="rId214"/>
    <hyperlink xmlns:r="http://schemas.openxmlformats.org/officeDocument/2006/relationships" ref="C344" r:id="rId215"/>
    <hyperlink xmlns:r="http://schemas.openxmlformats.org/officeDocument/2006/relationships" ref="C345" r:id="rId216"/>
    <hyperlink xmlns:r="http://schemas.openxmlformats.org/officeDocument/2006/relationships" ref="C346" r:id="rId217"/>
    <hyperlink xmlns:r="http://schemas.openxmlformats.org/officeDocument/2006/relationships" ref="C347" r:id="rId218"/>
    <hyperlink xmlns:r="http://schemas.openxmlformats.org/officeDocument/2006/relationships" ref="C348" r:id="rId219"/>
    <hyperlink xmlns:r="http://schemas.openxmlformats.org/officeDocument/2006/relationships" ref="C349" r:id="rId220"/>
    <hyperlink xmlns:r="http://schemas.openxmlformats.org/officeDocument/2006/relationships" ref="C350" r:id="rId221"/>
    <hyperlink xmlns:r="http://schemas.openxmlformats.org/officeDocument/2006/relationships" ref="C351" r:id="rId222"/>
    <hyperlink xmlns:r="http://schemas.openxmlformats.org/officeDocument/2006/relationships" ref="C352" r:id="rId223"/>
    <hyperlink xmlns:r="http://schemas.openxmlformats.org/officeDocument/2006/relationships" ref="C353" r:id="rId224"/>
    <hyperlink xmlns:r="http://schemas.openxmlformats.org/officeDocument/2006/relationships" ref="C354" r:id="rId225"/>
    <hyperlink xmlns:r="http://schemas.openxmlformats.org/officeDocument/2006/relationships" ref="C355" r:id="rId226"/>
    <hyperlink xmlns:r="http://schemas.openxmlformats.org/officeDocument/2006/relationships" ref="C356" r:id="rId227"/>
    <hyperlink xmlns:r="http://schemas.openxmlformats.org/officeDocument/2006/relationships" ref="C357" r:id="rId228"/>
    <hyperlink xmlns:r="http://schemas.openxmlformats.org/officeDocument/2006/relationships" ref="C358" r:id="rId229"/>
    <hyperlink xmlns:r="http://schemas.openxmlformats.org/officeDocument/2006/relationships" ref="C359" r:id="rId230"/>
    <hyperlink xmlns:r="http://schemas.openxmlformats.org/officeDocument/2006/relationships" ref="C360" r:id="rId231"/>
    <hyperlink xmlns:r="http://schemas.openxmlformats.org/officeDocument/2006/relationships" ref="C361" r:id="rId232"/>
    <hyperlink xmlns:r="http://schemas.openxmlformats.org/officeDocument/2006/relationships" ref="C362" r:id="rId233"/>
    <hyperlink xmlns:r="http://schemas.openxmlformats.org/officeDocument/2006/relationships" ref="C363" r:id="rId234"/>
    <hyperlink xmlns:r="http://schemas.openxmlformats.org/officeDocument/2006/relationships" ref="C364" r:id="rId235"/>
    <hyperlink xmlns:r="http://schemas.openxmlformats.org/officeDocument/2006/relationships" ref="C365" r:id="rId236"/>
    <hyperlink xmlns:r="http://schemas.openxmlformats.org/officeDocument/2006/relationships" ref="C366" r:id="rId237"/>
    <hyperlink xmlns:r="http://schemas.openxmlformats.org/officeDocument/2006/relationships" ref="C367" r:id="rId238"/>
    <hyperlink xmlns:r="http://schemas.openxmlformats.org/officeDocument/2006/relationships" ref="C368" r:id="rId239"/>
    <hyperlink xmlns:r="http://schemas.openxmlformats.org/officeDocument/2006/relationships" ref="C369" r:id="rId240"/>
    <hyperlink xmlns:r="http://schemas.openxmlformats.org/officeDocument/2006/relationships" ref="C370" r:id="rId241"/>
    <hyperlink xmlns:r="http://schemas.openxmlformats.org/officeDocument/2006/relationships" ref="C371" r:id="rId242"/>
    <hyperlink xmlns:r="http://schemas.openxmlformats.org/officeDocument/2006/relationships" ref="C372" r:id="rId243"/>
    <hyperlink xmlns:r="http://schemas.openxmlformats.org/officeDocument/2006/relationships" ref="C373" r:id="rId244"/>
    <hyperlink xmlns:r="http://schemas.openxmlformats.org/officeDocument/2006/relationships" ref="C374" r:id="rId245"/>
    <hyperlink xmlns:r="http://schemas.openxmlformats.org/officeDocument/2006/relationships" ref="C375" r:id="rId246"/>
    <hyperlink xmlns:r="http://schemas.openxmlformats.org/officeDocument/2006/relationships" ref="C376" r:id="rId247"/>
    <hyperlink xmlns:r="http://schemas.openxmlformats.org/officeDocument/2006/relationships" ref="C377" r:id="rId248"/>
    <hyperlink xmlns:r="http://schemas.openxmlformats.org/officeDocument/2006/relationships" ref="C378" r:id="rId249"/>
    <hyperlink xmlns:r="http://schemas.openxmlformats.org/officeDocument/2006/relationships" ref="C379" r:id="rId250"/>
    <hyperlink xmlns:r="http://schemas.openxmlformats.org/officeDocument/2006/relationships" ref="C380" r:id="rId251"/>
    <hyperlink xmlns:r="http://schemas.openxmlformats.org/officeDocument/2006/relationships" ref="C381" r:id="rId252"/>
    <hyperlink xmlns:r="http://schemas.openxmlformats.org/officeDocument/2006/relationships" ref="C382" r:id="rId253"/>
    <hyperlink xmlns:r="http://schemas.openxmlformats.org/officeDocument/2006/relationships" ref="C383" r:id="rId254"/>
    <hyperlink xmlns:r="http://schemas.openxmlformats.org/officeDocument/2006/relationships" ref="C384" r:id="rId255"/>
    <hyperlink xmlns:r="http://schemas.openxmlformats.org/officeDocument/2006/relationships" ref="C385" r:id="rId256"/>
    <hyperlink xmlns:r="http://schemas.openxmlformats.org/officeDocument/2006/relationships" ref="C386" r:id="rId257"/>
    <hyperlink xmlns:r="http://schemas.openxmlformats.org/officeDocument/2006/relationships" ref="C387" r:id="rId258"/>
    <hyperlink xmlns:r="http://schemas.openxmlformats.org/officeDocument/2006/relationships" ref="C388" r:id="rId259"/>
    <hyperlink xmlns:r="http://schemas.openxmlformats.org/officeDocument/2006/relationships" ref="C389" r:id="rId260"/>
    <hyperlink xmlns:r="http://schemas.openxmlformats.org/officeDocument/2006/relationships" ref="C390" r:id="rId261"/>
    <hyperlink xmlns:r="http://schemas.openxmlformats.org/officeDocument/2006/relationships" ref="C391" r:id="rId262"/>
    <hyperlink xmlns:r="http://schemas.openxmlformats.org/officeDocument/2006/relationships" ref="C392" r:id="rId263"/>
    <hyperlink xmlns:r="http://schemas.openxmlformats.org/officeDocument/2006/relationships" ref="C393" r:id="rId264"/>
    <hyperlink xmlns:r="http://schemas.openxmlformats.org/officeDocument/2006/relationships" ref="C394" r:id="rId265"/>
    <hyperlink xmlns:r="http://schemas.openxmlformats.org/officeDocument/2006/relationships" ref="C395" r:id="rId266"/>
    <hyperlink xmlns:r="http://schemas.openxmlformats.org/officeDocument/2006/relationships" ref="C396" r:id="rId267"/>
    <hyperlink xmlns:r="http://schemas.openxmlformats.org/officeDocument/2006/relationships" ref="C397" r:id="rId268"/>
    <hyperlink xmlns:r="http://schemas.openxmlformats.org/officeDocument/2006/relationships" ref="C398" r:id="rId269"/>
    <hyperlink xmlns:r="http://schemas.openxmlformats.org/officeDocument/2006/relationships" ref="C399" r:id="rId270"/>
    <hyperlink xmlns:r="http://schemas.openxmlformats.org/officeDocument/2006/relationships" ref="C400" r:id="rId271"/>
    <hyperlink xmlns:r="http://schemas.openxmlformats.org/officeDocument/2006/relationships" ref="C401" r:id="rId272"/>
    <hyperlink xmlns:r="http://schemas.openxmlformats.org/officeDocument/2006/relationships" ref="C402" r:id="rId273"/>
    <hyperlink xmlns:r="http://schemas.openxmlformats.org/officeDocument/2006/relationships" ref="C403" r:id="rId274"/>
    <hyperlink xmlns:r="http://schemas.openxmlformats.org/officeDocument/2006/relationships" ref="C404" r:id="rId275"/>
    <hyperlink xmlns:r="http://schemas.openxmlformats.org/officeDocument/2006/relationships" ref="C405" r:id="rId276"/>
    <hyperlink xmlns:r="http://schemas.openxmlformats.org/officeDocument/2006/relationships" ref="C406" r:id="rId277"/>
    <hyperlink xmlns:r="http://schemas.openxmlformats.org/officeDocument/2006/relationships" ref="C407" r:id="rId278"/>
    <hyperlink xmlns:r="http://schemas.openxmlformats.org/officeDocument/2006/relationships" ref="C408" r:id="rId279"/>
    <hyperlink xmlns:r="http://schemas.openxmlformats.org/officeDocument/2006/relationships" ref="C409" r:id="rId280"/>
    <hyperlink xmlns:r="http://schemas.openxmlformats.org/officeDocument/2006/relationships" ref="C410" r:id="rId281"/>
    <hyperlink xmlns:r="http://schemas.openxmlformats.org/officeDocument/2006/relationships" ref="C411" r:id="rId282"/>
    <hyperlink xmlns:r="http://schemas.openxmlformats.org/officeDocument/2006/relationships" ref="C412" r:id="rId283"/>
    <hyperlink xmlns:r="http://schemas.openxmlformats.org/officeDocument/2006/relationships" ref="C413" r:id="rId284"/>
    <hyperlink xmlns:r="http://schemas.openxmlformats.org/officeDocument/2006/relationships" ref="C414" r:id="rId285"/>
    <hyperlink xmlns:r="http://schemas.openxmlformats.org/officeDocument/2006/relationships" ref="C415" r:id="rId286"/>
    <hyperlink xmlns:r="http://schemas.openxmlformats.org/officeDocument/2006/relationships" ref="C416" r:id="rId287"/>
    <hyperlink xmlns:r="http://schemas.openxmlformats.org/officeDocument/2006/relationships" ref="C417" r:id="rId288"/>
    <hyperlink xmlns:r="http://schemas.openxmlformats.org/officeDocument/2006/relationships" ref="C418" r:id="rId289"/>
    <hyperlink xmlns:r="http://schemas.openxmlformats.org/officeDocument/2006/relationships" ref="C419" r:id="rId290"/>
    <hyperlink xmlns:r="http://schemas.openxmlformats.org/officeDocument/2006/relationships" ref="C420" r:id="rId291"/>
    <hyperlink xmlns:r="http://schemas.openxmlformats.org/officeDocument/2006/relationships" ref="C421" r:id="rId292"/>
    <hyperlink xmlns:r="http://schemas.openxmlformats.org/officeDocument/2006/relationships" ref="C422" r:id="rId293"/>
    <hyperlink xmlns:r="http://schemas.openxmlformats.org/officeDocument/2006/relationships" ref="C426" r:id="rId294"/>
    <hyperlink xmlns:r="http://schemas.openxmlformats.org/officeDocument/2006/relationships" ref="C427" r:id="rId295"/>
    <hyperlink xmlns:r="http://schemas.openxmlformats.org/officeDocument/2006/relationships" ref="C428" r:id="rId296"/>
    <hyperlink xmlns:r="http://schemas.openxmlformats.org/officeDocument/2006/relationships" ref="C429" r:id="rId297"/>
    <hyperlink xmlns:r="http://schemas.openxmlformats.org/officeDocument/2006/relationships" ref="C430" r:id="rId298"/>
    <hyperlink xmlns:r="http://schemas.openxmlformats.org/officeDocument/2006/relationships" ref="C431" r:id="rId299"/>
    <hyperlink xmlns:r="http://schemas.openxmlformats.org/officeDocument/2006/relationships" ref="C432" r:id="rId300"/>
    <hyperlink xmlns:r="http://schemas.openxmlformats.org/officeDocument/2006/relationships" ref="C433" r:id="rId301"/>
    <hyperlink xmlns:r="http://schemas.openxmlformats.org/officeDocument/2006/relationships" ref="C434" r:id="rId302"/>
    <hyperlink xmlns:r="http://schemas.openxmlformats.org/officeDocument/2006/relationships" ref="C435" r:id="rId303"/>
    <hyperlink xmlns:r="http://schemas.openxmlformats.org/officeDocument/2006/relationships" ref="C436" r:id="rId304"/>
    <hyperlink xmlns:r="http://schemas.openxmlformats.org/officeDocument/2006/relationships" ref="C437" r:id="rId305"/>
    <hyperlink xmlns:r="http://schemas.openxmlformats.org/officeDocument/2006/relationships" ref="C438" r:id="rId306"/>
    <hyperlink xmlns:r="http://schemas.openxmlformats.org/officeDocument/2006/relationships" ref="C439" r:id="rId307"/>
    <hyperlink xmlns:r="http://schemas.openxmlformats.org/officeDocument/2006/relationships" ref="C440" r:id="rId308"/>
    <hyperlink xmlns:r="http://schemas.openxmlformats.org/officeDocument/2006/relationships" ref="C441" r:id="rId309"/>
    <hyperlink xmlns:r="http://schemas.openxmlformats.org/officeDocument/2006/relationships" ref="C442" r:id="rId310"/>
    <hyperlink xmlns:r="http://schemas.openxmlformats.org/officeDocument/2006/relationships" ref="C443" r:id="rId311"/>
    <hyperlink xmlns:r="http://schemas.openxmlformats.org/officeDocument/2006/relationships" ref="C444" r:id="rId312"/>
    <hyperlink xmlns:r="http://schemas.openxmlformats.org/officeDocument/2006/relationships" ref="C445" r:id="rId313"/>
    <hyperlink xmlns:r="http://schemas.openxmlformats.org/officeDocument/2006/relationships" ref="C446" r:id="rId314"/>
    <hyperlink xmlns:r="http://schemas.openxmlformats.org/officeDocument/2006/relationships" ref="C447" r:id="rId315"/>
    <hyperlink xmlns:r="http://schemas.openxmlformats.org/officeDocument/2006/relationships" ref="C448" r:id="rId316"/>
    <hyperlink xmlns:r="http://schemas.openxmlformats.org/officeDocument/2006/relationships" ref="C449" r:id="rId317"/>
    <hyperlink xmlns:r="http://schemas.openxmlformats.org/officeDocument/2006/relationships" ref="C450" r:id="rId318"/>
    <hyperlink xmlns:r="http://schemas.openxmlformats.org/officeDocument/2006/relationships" ref="C451" r:id="rId319"/>
    <hyperlink xmlns:r="http://schemas.openxmlformats.org/officeDocument/2006/relationships" ref="C452" r:id="rId320"/>
  </hyperlinks>
  <pageMargins left="0.25" right="0.25" top="0.75" bottom="0.75" header="0.3" footer="0.3"/>
  <pageSetup orientation="landscape" paperSize="9" scale="43" fitToHeight="0"/>
  <headerFooter>
    <oddHeader>&amp;CPROJETOS DE LEI NA RELATORIA</oddHeader>
    <oddFooter/>
    <evenHeader/>
    <evenFooter/>
    <firstHeader/>
    <firstFooter/>
  </headerFooter>
</worksheet>
</file>

<file path=xl/worksheets/sheet3.xml><?xml version="1.0" encoding="utf-8"?>
<worksheet xmlns="http://schemas.openxmlformats.org/spreadsheetml/2006/main">
  <sheetPr>
    <outlinePr summaryBelow="1" summaryRight="1"/>
    <pageSetUpPr fitToPage="1"/>
  </sheetPr>
  <dimension ref="A1:G35"/>
  <sheetViews>
    <sheetView topLeftCell="A32" workbookViewId="0">
      <selection activeCell="D39" sqref="D39"/>
    </sheetView>
  </sheetViews>
  <sheetFormatPr baseColWidth="8" defaultRowHeight="15"/>
  <cols>
    <col width="14.85546875" customWidth="1" style="79" min="2" max="2"/>
    <col width="12.42578125" bestFit="1" customWidth="1" style="79" min="3" max="3"/>
    <col width="49.85546875" customWidth="1" style="79" min="4" max="4"/>
    <col width="28.28515625" customWidth="1" style="79" min="5" max="5"/>
    <col width="15.42578125" customWidth="1" style="79" min="6" max="6"/>
    <col width="24.42578125" customWidth="1" style="79" min="7" max="7"/>
  </cols>
  <sheetData>
    <row r="1" ht="30.75" customHeight="1" s="79">
      <c r="C1" s="74" t="inlineStr">
        <is>
          <t>PROJETOS COM PARECER
COMISSÃO DE ORÇAMENTO</t>
        </is>
      </c>
      <c r="D1" s="80" t="n"/>
      <c r="E1" s="80" t="n"/>
      <c r="F1" s="80" t="n"/>
      <c r="G1" s="80" t="n"/>
    </row>
    <row r="2">
      <c r="A2" s="65" t="inlineStr">
        <is>
          <t>ANO</t>
        </is>
      </c>
      <c r="B2" s="65" t="inlineStr">
        <is>
          <t>NUM</t>
        </is>
      </c>
      <c r="C2" s="27" t="inlineStr">
        <is>
          <t>Nº PL</t>
        </is>
      </c>
      <c r="D2" s="27" t="inlineStr">
        <is>
          <t>EMENTA</t>
        </is>
      </c>
      <c r="E2" s="27" t="inlineStr">
        <is>
          <t>AUTOR</t>
        </is>
      </c>
      <c r="F2" s="46" t="inlineStr">
        <is>
          <t>RELATOR</t>
        </is>
      </c>
      <c r="G2" s="46" t="inlineStr">
        <is>
          <t>PARECER</t>
        </is>
      </c>
    </row>
    <row r="3" ht="75" customHeight="1" s="79">
      <c r="A3" s="68">
        <f>RIGHT(C3,4)</f>
        <v/>
      </c>
      <c r="B3" s="68">
        <f>LEFT(C3, LEN(C3) - 5)</f>
        <v/>
      </c>
      <c r="C3" s="73" t="inlineStr">
        <is>
          <t>3675/2021</t>
        </is>
      </c>
      <c r="D3" s="2" t="inlineStr">
        <is>
          <t>INSTITUI O “AUXÍLIO ESPORTES ELETRÔNICOS” PARA OS ESTUDANTES DE CURSOS ESPECIALIZADOS EM ESPORTES ELETRÔNICOS.</t>
        </is>
      </c>
      <c r="E3" s="2" t="inlineStr">
        <is>
          <t>RODRIGO AMORIM</t>
        </is>
      </c>
      <c r="F3" s="2" t="inlineStr">
        <is>
          <t>ALEXANDRE KNOPLOCH</t>
        </is>
      </c>
      <c r="G3" s="10" t="inlineStr">
        <is>
          <t>FAVORÁVEL COM A EMENDA DA COMISSÃO DE CONSTITUIÇÃO E JUSTIÇA E DA COMISSÃO DE ESPORTE E LAZER</t>
        </is>
      </c>
    </row>
    <row r="4" ht="105" customHeight="1" s="79">
      <c r="A4" s="68">
        <f>RIGHT(C4,4)</f>
        <v/>
      </c>
      <c r="B4" s="68">
        <f>LEFT(C4, LEN(C4) - 5)</f>
        <v/>
      </c>
      <c r="C4" s="73" t="inlineStr">
        <is>
          <t>153/2023</t>
        </is>
      </c>
      <c r="D4" s="2" t="inlineStr">
        <is>
          <t>ALTERA A LEI Nº 6.226, DE 24 DE ABRIL DE 2012, PARA DETERMINAR A INSTALAÇÃO DE CABINES INDIVIDUAIS DE MATERIAL OPACO NOS CAIXAS DE ATEDNIMENTO PRESENCIAL E CAIXAS ELETRÔNICOS DE TODAS AS AGÊNCIAS BANCÁRIAS E INSTITUIÇÕES FINANCEIRAS COM ATUAÇÃO NO ESTADO DO RIO DE JANEIRO.</t>
        </is>
      </c>
      <c r="E4" s="2" t="inlineStr">
        <is>
          <t>MÁRCIO CANELLA</t>
        </is>
      </c>
      <c r="F4" s="18" t="inlineStr">
        <is>
          <t>ALEXANDRE KNOPLOCH</t>
        </is>
      </c>
      <c r="G4" s="10" t="inlineStr">
        <is>
          <t>FAVORÁVEL COM O PARECER DA COMISSÃO DE CONSTITUIÇÃO E JUSTIÇCA E A EMENDA DA COMISSÃO DE SEGURANÇA PÚBLICA E ASSUNTOS DE POLÍCIA</t>
        </is>
      </c>
    </row>
    <row r="5" ht="120" customHeight="1" s="79">
      <c r="A5" s="68">
        <f>RIGHT(C5,4)</f>
        <v/>
      </c>
      <c r="B5" s="68">
        <f>LEFT(C5, LEN(C5) - 5)</f>
        <v/>
      </c>
      <c r="C5" s="73" t="inlineStr">
        <is>
          <t>626/2023</t>
        </is>
      </c>
      <c r="D5" s="2" t="inlineStr">
        <is>
          <t>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t>
        </is>
      </c>
      <c r="E5" s="2" t="inlineStr">
        <is>
          <t>MARTHA ROCHA</t>
        </is>
      </c>
      <c r="F5" s="18" t="inlineStr">
        <is>
          <t>ALEXANDRE KNOPLOCH</t>
        </is>
      </c>
      <c r="G5" s="10" t="inlineStr">
        <is>
          <t>FAVORÁVEL COM AS EMENDAS DA COMISSÃO DE CONSTITUIÇÃO E JUSTIÇA E DA COMISSÃO DE ECONOMIA, INDÚSTRIA E COMÉRCIO</t>
        </is>
      </c>
    </row>
    <row r="6" ht="60" customHeight="1" s="79">
      <c r="A6" s="68">
        <f>RIGHT(C6,4)</f>
        <v/>
      </c>
      <c r="B6" s="68">
        <f>LEFT(C6, LEN(C6) - 5)</f>
        <v/>
      </c>
      <c r="C6" s="73" t="inlineStr">
        <is>
          <t>672/2023</t>
        </is>
      </c>
      <c r="D6" s="2" t="inlineStr">
        <is>
          <t>CRIA O PROGRAMA ESTADUAL DE FOMENTO E DIFUSÃO DO FORRÓ E DÁ OUTRAS PROVIDÊNCIAS.</t>
        </is>
      </c>
      <c r="E6" s="2" t="inlineStr">
        <is>
          <t>VERONICA LIMA</t>
        </is>
      </c>
      <c r="F6" s="18" t="inlineStr">
        <is>
          <t>ALEXANDRE KNOPLOCH</t>
        </is>
      </c>
      <c r="G6" s="10" t="inlineStr">
        <is>
          <t>FAVORÁVEL COM AS EMENDAS DA COMISSÃO DE CONSTITUIÇÃO E JUSTIÇA</t>
        </is>
      </c>
    </row>
    <row r="7" ht="75" customHeight="1" s="79">
      <c r="A7" s="68">
        <f>RIGHT(C7,4)</f>
        <v/>
      </c>
      <c r="B7" s="68">
        <f>LEFT(C7, LEN(C7) - 5)</f>
        <v/>
      </c>
      <c r="C7" s="2" t="inlineStr">
        <is>
          <t>840/2023</t>
        </is>
      </c>
      <c r="D7" s="2" t="inlineStr">
        <is>
          <t>ALTERA A LEI ESTADUAL Nº 8.614, DE 06 DE NOVEMBRO DE 2019, QUE DISPÕE SOBRE A OBRIGATORIEDADE DE DISPONIBILIZAÇÃO DO CÓDIGO QR EM TODAS AS PLACAS DE OBRAS PÚBLICAS ESTADUAIS.</t>
        </is>
      </c>
      <c r="E7" s="2" t="inlineStr">
        <is>
          <t>JORGE FELIPPE NETO</t>
        </is>
      </c>
      <c r="F7" s="2" t="inlineStr">
        <is>
          <t>ALEXANDRE KNOPLOCH</t>
        </is>
      </c>
      <c r="G7" s="10" t="inlineStr">
        <is>
          <t>FAVORÁVEL</t>
        </is>
      </c>
    </row>
    <row r="8" ht="45" customHeight="1" s="79">
      <c r="A8" s="68">
        <f>RIGHT(C8,4)</f>
        <v/>
      </c>
      <c r="B8" s="68">
        <f>LEFT(C8, LEN(C8) - 5)</f>
        <v/>
      </c>
      <c r="C8" s="73" t="inlineStr">
        <is>
          <t>854/2023</t>
        </is>
      </c>
      <c r="D8" s="2" t="inlineStr">
        <is>
          <t>DISPÕE SOBRE O FORNECIMENTO DE FONE ANTIRRUÍDO PARA PESSOAS COM TRANSTORNO DO ESPECTRO AUTISTA (TEA).</t>
        </is>
      </c>
      <c r="E8" s="2" t="inlineStr">
        <is>
          <t>DANNIEL LIBRELON</t>
        </is>
      </c>
      <c r="F8" s="2" t="inlineStr">
        <is>
          <t>ALEXANDRE KNOPLOCH</t>
        </is>
      </c>
      <c r="G8" s="10" t="inlineStr">
        <is>
          <t>FAVORÁVEL</t>
        </is>
      </c>
    </row>
    <row r="9" ht="60" customHeight="1" s="79">
      <c r="A9" s="68">
        <f>RIGHT(C9,4)</f>
        <v/>
      </c>
      <c r="B9" s="68">
        <f>LEFT(C9, LEN(C9) - 5)</f>
        <v/>
      </c>
      <c r="C9" s="2" t="inlineStr">
        <is>
          <t>1819/2023</t>
        </is>
      </c>
      <c r="D9" s="2" t="inlineStr">
        <is>
          <t>DISPÕE SOBRE A CRIAÇÃO DA PLATAFORMA “EMPREGA APROV” NO  ÂMBITO DO ESTADO DO RIO DE JANEIRO NA FORMA QUE MENCIONA.</t>
        </is>
      </c>
      <c r="E9" s="2" t="inlineStr">
        <is>
          <t>FILIPE SOARES</t>
        </is>
      </c>
      <c r="F9" s="18" t="inlineStr">
        <is>
          <t>ALEXANDRE KNOPLOCH</t>
        </is>
      </c>
      <c r="G9" s="10" t="inlineStr">
        <is>
          <t>FAVORÁVEL COM AS EMENDAS DA COMISSÃO DE CONSTITUIÇÃO E JUSTIÇA</t>
        </is>
      </c>
    </row>
    <row r="10" ht="60" customHeight="1" s="79">
      <c r="A10" s="68">
        <f>RIGHT(C10,4)</f>
        <v/>
      </c>
      <c r="B10" s="68">
        <f>LEFT(C10, LEN(C10) - 5)</f>
        <v/>
      </c>
      <c r="C10" s="2" t="inlineStr">
        <is>
          <t>2726/2023</t>
        </is>
      </c>
      <c r="D10" s="2" t="inlineStr">
        <is>
          <t>ESTABELECE A OBRIGATORIEDADE DE ATENDIMENTO RESERVADO À VÍTIMA DE CRIME CIBERNÉTICO, DE QUE RESULTE VIOLÊNCIA EM TODAS AS DELEGACIAS POLICIAIS DO ESTADO DO RIO DE JANEIRO.</t>
        </is>
      </c>
      <c r="E10" s="2" t="inlineStr">
        <is>
          <t>COMISSÃO PARLAMENTAR DE INQUÉRITO INSTITUÍDA PELA RESOLUÇÃO Nº 31/2023</t>
        </is>
      </c>
      <c r="F10" s="2" t="inlineStr">
        <is>
          <t>ALEXANDRE KNOPLOCH</t>
        </is>
      </c>
      <c r="G10" s="10" t="inlineStr">
        <is>
          <t>FAVORÁVEL COM A EMENDA DA COMISSÃO DE CONSTITUIÇÃO E JUSTIÇA</t>
        </is>
      </c>
    </row>
    <row r="11" ht="45" customHeight="1" s="79">
      <c r="A11" s="68">
        <f>RIGHT(C11,4)</f>
        <v/>
      </c>
      <c r="B11" s="68">
        <f>LEFT(C11, LEN(C11) - 5)</f>
        <v/>
      </c>
      <c r="C11" s="73" t="inlineStr">
        <is>
          <t>4083/2024</t>
        </is>
      </c>
      <c r="D11" s="2" t="inlineStr">
        <is>
          <t>INSTITUI A POLÍTICA ESTADUAL DE ATENÇÃO INTEGRAL AO PACIENTE INFECTADO PELO VÍRUS MONKEYPOX (MPXV).</t>
        </is>
      </c>
      <c r="E11" s="2" t="inlineStr">
        <is>
          <t>RODRIGO AMORIM</t>
        </is>
      </c>
      <c r="F11" s="2" t="inlineStr">
        <is>
          <t>ALEXANDRE KNOPLOCH</t>
        </is>
      </c>
      <c r="G11" s="10" t="inlineStr">
        <is>
          <t>FAVORÁVEL</t>
        </is>
      </c>
    </row>
    <row r="12" ht="60" customHeight="1" s="79">
      <c r="A12" s="68">
        <f>RIGHT(C12,4)</f>
        <v/>
      </c>
      <c r="B12" s="68">
        <f>LEFT(C12, LEN(C12) - 5)</f>
        <v/>
      </c>
      <c r="C12" s="73" t="inlineStr">
        <is>
          <t>3718/2024</t>
        </is>
      </c>
      <c r="D12" s="2" t="inlineStr">
        <is>
          <t>INSTITUI O PROGRAMA DE AMPLIAÇÃO DA OFERTA DE EXAMES NAS CLÍNICAS PÚBLICAS ESPECIALIZADAS NA SAÚDE DA MULHER NO ÂMBITO DO ESTADO DO RIO DE JANEIRO.</t>
        </is>
      </c>
      <c r="E12" s="2" t="inlineStr">
        <is>
          <t>BRAZAO</t>
        </is>
      </c>
      <c r="F12" s="18" t="inlineStr">
        <is>
          <t>ANDRÉ CORRÊA</t>
        </is>
      </c>
      <c r="G12" s="10" t="n"/>
    </row>
    <row r="13" ht="75" customHeight="1" s="79">
      <c r="A13" s="68">
        <f>RIGHT(C13,4)</f>
        <v/>
      </c>
      <c r="B13" s="68">
        <f>LEFT(C13, LEN(C13) - 5)</f>
        <v/>
      </c>
      <c r="C13" s="2" t="inlineStr">
        <is>
          <t>1811/2016</t>
        </is>
      </c>
      <c r="D13" s="2" t="inlineStr">
        <is>
          <t>DISPÕE SOBRE A CRIAÇÃO DO REGIME DE EXCEPCIONALIDADE NOS CONTRATOS E CONVÊNIOS QUE CONTEMPLAM ENTIDADES QUE ATENDAM CRIANÇAS E ADOLESCENTES NO ÂMBITO DO ESTADO DO RIO DE JANEIRO.</t>
        </is>
      </c>
      <c r="E13" s="2" t="inlineStr">
        <is>
          <t>MARCIO PACHECO,TIA JU</t>
        </is>
      </c>
      <c r="F13" s="18" t="inlineStr">
        <is>
          <t>VINICIUS COZZOLINO</t>
        </is>
      </c>
      <c r="G13" s="10" t="inlineStr">
        <is>
          <t>FAVORÁVEL AO SUBSTITUTIVO DA COMISSÃO DE CONSTITUIÇÃO E JUSTIÇA</t>
        </is>
      </c>
    </row>
    <row r="14" ht="60" customHeight="1" s="79">
      <c r="A14" s="68">
        <f>RIGHT(C14,4)</f>
        <v/>
      </c>
      <c r="B14" s="68">
        <f>LEFT(C14, LEN(C14) - 5)</f>
        <v/>
      </c>
      <c r="C14" s="2" t="inlineStr">
        <is>
          <t>1642/2019</t>
        </is>
      </c>
      <c r="D14" s="2" t="inlineStr">
        <is>
          <t>FICAM AS UNIDADES DE SAÚDE DA REDE PÚBLICA E PRIVADA OBRIGADAS A GARANTIR OS DIREITOS DE MULHERES QUE SOFRAM PERDA GESTACIONAL.</t>
        </is>
      </c>
      <c r="E14" s="2" t="inlineStr">
        <is>
          <t>COMISSÃO PARLAMENTAR DE INQUÉRITO INSTITUÍDA PELA RESOLUÇÃO Nº 05/2019</t>
        </is>
      </c>
      <c r="F14" s="2" t="inlineStr">
        <is>
          <t>VINICIUS COZZOLINO</t>
        </is>
      </c>
      <c r="G14" s="10" t="inlineStr">
        <is>
          <t>FAVORÁVEL COM AS EMENDAS DA COMISSÃO DE CONSTITUIÇÃO E JUSTIÇA</t>
        </is>
      </c>
    </row>
    <row r="15" ht="75" customHeight="1" s="79">
      <c r="A15" s="68">
        <f>RIGHT(C15,4)</f>
        <v/>
      </c>
      <c r="B15" s="68">
        <f>LEFT(C15, LEN(C15) - 5)</f>
        <v/>
      </c>
      <c r="C15" s="2" t="inlineStr">
        <is>
          <t>2788/2020</t>
        </is>
      </c>
      <c r="D15" s="2" t="inlineStr">
        <is>
          <t>ESTABELECE DIRETRIZES PARA A PROMOÇÃO DE CONSCIENTIZAÇÃO SOBRE BONS TRATOS AOS ANIMAIS NA REDE DE ENSINO PÚBLICO E PRIVADO NO ESTADO DO RIO DE JANEIRO.</t>
        </is>
      </c>
      <c r="E15" s="2" t="inlineStr">
        <is>
          <t>DANNIEL LIBRELON</t>
        </is>
      </c>
      <c r="F15" s="18" t="inlineStr">
        <is>
          <t>VINICIUS COZZOLINO</t>
        </is>
      </c>
      <c r="G15" s="10" t="inlineStr">
        <is>
          <t>FAVORÁVEL COM EMENDAS, INCLUSIVE COM AS EMENDAS DA COMISSÃO DE CONSTITUIÇÃO E JUSTIÇA</t>
        </is>
      </c>
    </row>
    <row r="16" ht="105" customHeight="1" s="79">
      <c r="A16" s="68">
        <f>RIGHT(C16,4)</f>
        <v/>
      </c>
      <c r="B16" s="68">
        <f>LEFT(C16, LEN(C16) - 5)</f>
        <v/>
      </c>
      <c r="C16" s="2" t="inlineStr">
        <is>
          <t>2836/2020</t>
        </is>
      </c>
      <c r="D16" s="2" t="inlineStr">
        <is>
          <t>DISPÕE SOBRE A OBRIGATORIEDADE DA CIRURGIA PLÁSTICA RECONSTRUTIVA TOTAL OU PARCIAL, ATRAVÉS DE PRÓTESE TESTICULAR, PELA REDE DE UNIDADES INTEGRANTES DO SISTEMA ÚNICO DE SAÚDE - SUS -, NOS CASOS DE MUTILAÇÃO DO	TESTÍCULO, DECORRENTES DE TRATAMENTO DE CÂNCER NO ÂMBITO DO ESTADO DO RIO DE JANEIRO.</t>
        </is>
      </c>
      <c r="E16" s="2" t="inlineStr">
        <is>
          <t>DANNIEL LIBRELON</t>
        </is>
      </c>
      <c r="F16" s="18" t="inlineStr">
        <is>
          <t>VINICIUS COZZOLINO</t>
        </is>
      </c>
      <c r="G16" s="10" t="inlineStr">
        <is>
          <t>FAVORÁVEL</t>
        </is>
      </c>
    </row>
    <row r="17" ht="60" customHeight="1" s="79">
      <c r="A17" s="68">
        <f>RIGHT(C17,4)</f>
        <v/>
      </c>
      <c r="B17" s="68">
        <f>LEFT(C17, LEN(C17) - 5)</f>
        <v/>
      </c>
      <c r="C17" s="73" t="inlineStr">
        <is>
          <t>2857/2020</t>
        </is>
      </c>
      <c r="D17" s="2" t="inlineStr">
        <is>
          <t>DECLARA PATRIMÔNIO CULTURAL IMATERIAL DO ESTADO DO RIO DE JANEIRO A CIÊNCIA DO KOMBATO, E DÁ OUTRAS PROVIDÊNCIAS.</t>
        </is>
      </c>
      <c r="E17" s="2" t="inlineStr">
        <is>
          <t>RODRIGO AMORIM</t>
        </is>
      </c>
      <c r="F17" s="18" t="inlineStr">
        <is>
          <t>VINICIUS COZZOLINO</t>
        </is>
      </c>
      <c r="G17" s="10" t="inlineStr">
        <is>
          <t>FAVORÁVEL COM AS EMENDAS DA COMISSÃO DE CONSTITUIÇÃO E JUSTIÇA</t>
        </is>
      </c>
    </row>
    <row r="18" ht="75" customHeight="1" s="79">
      <c r="A18" s="68">
        <f>RIGHT(C18,4)</f>
        <v/>
      </c>
      <c r="B18" s="68">
        <f>LEFT(C18, LEN(C18) - 5)</f>
        <v/>
      </c>
      <c r="C18" s="2" t="inlineStr">
        <is>
          <t>5335/2022</t>
        </is>
      </c>
      <c r="D18" s="2" t="inlineStr">
        <is>
          <t>DISPÕE SOBRE A POLÍTICA DE TRATAMENTO ESPECIALIZADO E ASSISTÊNCIA ESPECÍFICA PARA AS PESSOAS DIAGNOSTICADAS COM TRANSTORNO DE PERSONALIDADE NARCISISTA - TPN, NO ÂMBITO DO ESTADO DO RIO DE JANEIRO.</t>
        </is>
      </c>
      <c r="E18" s="2" t="inlineStr">
        <is>
          <t>DANNIEL LIBRELON</t>
        </is>
      </c>
      <c r="F18" s="18" t="inlineStr">
        <is>
          <t>VINICIUS COZZOLINO</t>
        </is>
      </c>
      <c r="G18" s="10" t="inlineStr">
        <is>
          <t>FAVORÁVEL COM AS EMENDAS DA COMISSÃO DE CONSTITUIÇÃO E JUSTIÇA</t>
        </is>
      </c>
    </row>
    <row r="19" ht="75" customHeight="1" s="79">
      <c r="A19" s="68">
        <f>RIGHT(C19,4)</f>
        <v/>
      </c>
      <c r="B19" s="68">
        <f>LEFT(C19, LEN(C19) - 5)</f>
        <v/>
      </c>
      <c r="C19" s="2" t="inlineStr">
        <is>
          <t>429/2023</t>
        </is>
      </c>
      <c r="D19" s="2" t="inlineStr">
        <is>
          <t>DISPÕE SOBRE A VEDAÇÃO DE CONCESSÃO DE BENEFÍCIOS FISCAIS ÀS PESSOAS FÍSICAS OU JURÍDICAS CONDENADAS POR CORRUPÇÃO OU ATO DE IMPROBIDADE ADMINISTRATIVA, NA FORMA QUE MENCIONA.</t>
        </is>
      </c>
      <c r="E19" s="2" t="inlineStr">
        <is>
          <t>ANDERSON MORAES</t>
        </is>
      </c>
      <c r="F19" s="2" t="inlineStr">
        <is>
          <t>VINICIUS COZZOLINO</t>
        </is>
      </c>
      <c r="G19" s="10" t="inlineStr">
        <is>
          <t>FAVORÁVEL COM A EMENDA DA COMISSÃO DE CONSTITUIÇÃO E JUSTIÇA</t>
        </is>
      </c>
    </row>
    <row r="20" ht="90" customHeight="1" s="79">
      <c r="A20" s="68">
        <f>RIGHT(C20,4)</f>
        <v/>
      </c>
      <c r="B20" s="68">
        <f>LEFT(C20, LEN(C20) - 5)</f>
        <v/>
      </c>
      <c r="C20" s="2" t="inlineStr">
        <is>
          <t>691/2023</t>
        </is>
      </c>
      <c r="D20" s="2" t="inlineStr">
        <is>
          <t>CRIA O SELO “SOLDADO-CIDADÃO” PARA AS EMPRESAS QUE ADMITIREM, PARA O PRIMEIRO EMPREGO, CIDADÃOS QUE ESTÃO FINALIZANDO O CUMPRIMENTO DO SERVIÇO MILITAR OBRIGATÓRIO OU TEMPORÁRIO, NO ÂMBITO DO ESTADO DO RIO DE JANEIRO.</t>
        </is>
      </c>
      <c r="E20" s="2" t="inlineStr">
        <is>
          <t>RODRIGO AMORIM</t>
        </is>
      </c>
      <c r="F20" s="2" t="inlineStr">
        <is>
          <t>VINICIUS COZZOLINO</t>
        </is>
      </c>
      <c r="G20" s="10" t="inlineStr">
        <is>
          <t>FAVORÁVEL COM AS EMENDAS DA COMISSÃO DE CONSTITUIÇÃO E JUSTIÇA</t>
        </is>
      </c>
    </row>
    <row r="21" ht="60" customHeight="1" s="79">
      <c r="A21" s="68">
        <f>RIGHT(C21,4)</f>
        <v/>
      </c>
      <c r="B21" s="68">
        <f>LEFT(C21, LEN(C21) - 5)</f>
        <v/>
      </c>
      <c r="C21" s="2" t="inlineStr">
        <is>
          <t>1547/2023</t>
        </is>
      </c>
      <c r="D21" s="2" t="inlineStr">
        <is>
          <t>MODIFICA A LEI Nº 2.877, DE 22 DE DEZEMBRO DE 1997 QUE DISPÕE SOBRE O IMPOSTO SOBRE A PROPRIEDADE DE VEÍCULOS AUTOMOTORES E DÁ OUTRAS PROVIDÊNCIAS.</t>
        </is>
      </c>
      <c r="E21" s="2" t="inlineStr">
        <is>
          <t>LUIZ PAULO</t>
        </is>
      </c>
      <c r="F21" s="2" t="inlineStr">
        <is>
          <t>VINICIUS COZZOLINO</t>
        </is>
      </c>
      <c r="G21" s="10" t="inlineStr">
        <is>
          <t>FAVORÁVEL COM O SUBSTITUTIVO DA COMISSÃO DE CONSTITUIÇÃO E JUSTIÇA</t>
        </is>
      </c>
    </row>
    <row r="22" ht="75" customHeight="1" s="79">
      <c r="A22" s="68">
        <f>RIGHT(C22,4)</f>
        <v/>
      </c>
      <c r="B22" s="68">
        <f>LEFT(C22, LEN(C22) - 5)</f>
        <v/>
      </c>
      <c r="C22" s="2" t="inlineStr">
        <is>
          <t>1621/2023</t>
        </is>
      </c>
      <c r="D22" s="2" t="inlineStr">
        <is>
          <t>DISPÕE SOBRE A IMPLANTAÇÃO DE PROGRAMA DE ROTINA DE SEGURANÇA, “SAÚDE SEGURA”, NAS UNIDADES DE SAÚDE PÚBLICA, NO ÂMBITO DO ESTADO DO RIO DE JANEIRO E DÁ OUTRAS PROVIDÊNCIAS.</t>
        </is>
      </c>
      <c r="E22" s="2" t="inlineStr">
        <is>
          <t>PEDRO RICARDO</t>
        </is>
      </c>
      <c r="F22" s="18" t="inlineStr">
        <is>
          <t>VINICIUS COZZOLINO</t>
        </is>
      </c>
      <c r="G22" s="10" t="inlineStr">
        <is>
          <t>FAVORÁEL COM AS EMENDAS DA COMISSÃO DE CONSTITUIÇÃO E JUSTIÇA</t>
        </is>
      </c>
    </row>
    <row r="23" ht="60" customHeight="1" s="79">
      <c r="A23" s="68">
        <f>RIGHT(C23,4)</f>
        <v/>
      </c>
      <c r="B23" s="68">
        <f>LEFT(C23, LEN(C23) - 5)</f>
        <v/>
      </c>
      <c r="C23" s="2" t="inlineStr">
        <is>
          <t>1651/2023</t>
        </is>
      </c>
      <c r="D23" s="2" t="inlineStr">
        <is>
          <t>DISPÕE SOBRE A INCLUSÃO DE INFORMAÇÕES SOBRE OS SINTOMAS DO TRANSTORNO DO ESPECTRO AUTISTA (TEA) NA CARTEIRA DE VACINAÇÃO E DÁ OUTRAS PROVIDÊNCIAS.</t>
        </is>
      </c>
      <c r="E23" s="2" t="inlineStr">
        <is>
          <t>FRED PACHECO</t>
        </is>
      </c>
      <c r="F23" s="18" t="inlineStr">
        <is>
          <t>VINICIUS COZZOLINO</t>
        </is>
      </c>
      <c r="G23" s="10" t="inlineStr">
        <is>
          <t>FAVORÁVEL COM COM O SUBSTITUTIVO DA COMISSÃO DE CONSTITUIÇÃO E JUSTIÇA</t>
        </is>
      </c>
    </row>
    <row r="24" ht="60" customHeight="1" s="79">
      <c r="A24" s="68">
        <f>RIGHT(C24,4)</f>
        <v/>
      </c>
      <c r="B24" s="68">
        <f>LEFT(C24, LEN(C24) - 5)</f>
        <v/>
      </c>
      <c r="C24" s="2" t="inlineStr">
        <is>
          <t>2052/2023</t>
        </is>
      </c>
      <c r="D24" s="2" t="inlineStr">
        <is>
          <t>ALTERA A LEI Nº 7.375, DE 14 DE JULHO 2016, PARA DISPOR SOBRE A PREVENÇÃO, DETECÇÃO E CONTROLE DA TROMBOFILIA GESTACIONAL NO ESTADO DO RIO DE JANEIRO.</t>
        </is>
      </c>
      <c r="E24" s="2" t="inlineStr">
        <is>
          <t>MÁRCIO CANELLA</t>
        </is>
      </c>
      <c r="F24" s="2" t="inlineStr">
        <is>
          <t>VINICIUS COZZOLINO</t>
        </is>
      </c>
      <c r="G24" s="10" t="inlineStr">
        <is>
          <t>FAVORÁVEL COM EMENDA</t>
        </is>
      </c>
    </row>
    <row r="25" ht="60" customHeight="1" s="79">
      <c r="A25" s="68">
        <f>RIGHT(C25,4)</f>
        <v/>
      </c>
      <c r="B25" s="68">
        <f>LEFT(C25, LEN(C25) - 5)</f>
        <v/>
      </c>
      <c r="C25" s="2" t="inlineStr">
        <is>
          <t>3708/2024</t>
        </is>
      </c>
      <c r="D25" s="2" t="inlineStr">
        <is>
          <t>DISPÕE SOBRE A CRIAÇÃO DO PROGRAMA DE PREVENÇÃO DE SAÚDE DA SARCOPENIA, NO ÂMBITO DO ESTADO DO RIO DE JANEIRO, E DÁ OUTRAS PROVIDÊNCIAS.</t>
        </is>
      </c>
      <c r="E25" s="2" t="inlineStr">
        <is>
          <t>RENAN JORDY</t>
        </is>
      </c>
      <c r="F25" s="2" t="inlineStr">
        <is>
          <t>VINICIUS COZZOLINO</t>
        </is>
      </c>
      <c r="G25" s="10" t="inlineStr">
        <is>
          <t>FAVORÁVEL</t>
        </is>
      </c>
    </row>
    <row r="26" ht="60" customHeight="1" s="79">
      <c r="A26" s="68">
        <f>RIGHT(C26,4)</f>
        <v/>
      </c>
      <c r="B26" s="68">
        <f>LEFT(C26, LEN(C26) - 5)</f>
        <v/>
      </c>
      <c r="C26" s="2" t="inlineStr">
        <is>
          <t>4068/2024</t>
        </is>
      </c>
      <c r="D26" s="2" t="inlineStr">
        <is>
          <t>DISPÕE SOBRE A CRIAÇÃO DE CAMPANHA PARA INVESTIGAÇÃO E DIAGNÓSTICO DO TRANSTORNO DO ESPECTRO AUTISTA (TEA) EM ADULTOS E IDOSOS, NO ÂMBITO DO ESTADO DO RIO DE JANEIRO</t>
        </is>
      </c>
      <c r="E26" s="2" t="inlineStr">
        <is>
          <t>FRED PACHECO,THIAGO GAGLIASSO</t>
        </is>
      </c>
      <c r="F26" s="18" t="inlineStr">
        <is>
          <t>VINICIUS COZZOLINO</t>
        </is>
      </c>
      <c r="G26" s="10" t="inlineStr">
        <is>
          <t>FAVORÁVEL COM O SUBSTITUTIVO DA COMISSÃO DE CONSTITUIÇÃO E JUSTIÇA</t>
        </is>
      </c>
    </row>
    <row r="27" ht="30" customHeight="1" s="79">
      <c r="A27" s="68">
        <f>RIGHT(C27,4)</f>
        <v/>
      </c>
      <c r="B27" s="68">
        <f>LEFT(C27, LEN(C27) - 5)</f>
        <v/>
      </c>
      <c r="C27" s="2" t="inlineStr">
        <is>
          <t>4274/2024</t>
        </is>
      </c>
      <c r="D27" s="2" t="inlineStr">
        <is>
          <t>ALTERA A LEI Nº 8953, DE 30 DE JULHO DE 2020, NA FORMA QUE MENCIONA.</t>
        </is>
      </c>
      <c r="E27" s="2" t="inlineStr">
        <is>
          <t>CELIA JORDÃO</t>
        </is>
      </c>
      <c r="F27" s="2" t="inlineStr">
        <is>
          <t>VINICIUS COZZOLINO</t>
        </is>
      </c>
      <c r="G27" s="10" t="inlineStr">
        <is>
          <t>FAVORÁVEL</t>
        </is>
      </c>
    </row>
    <row r="28" ht="30" customHeight="1" s="79">
      <c r="A28" s="68">
        <f>RIGHT(C28,4)</f>
        <v/>
      </c>
      <c r="B28" s="68">
        <f>LEFT(C28, LEN(C28) - 5)</f>
        <v/>
      </c>
      <c r="C28" s="2" t="inlineStr">
        <is>
          <t>4424/2024</t>
        </is>
      </c>
      <c r="D28" s="2" t="inlineStr">
        <is>
          <t>ALTERA A LEI Nº 2877, DE 22 DE DEZEMBRO DE 1997, E DÁ OUTRAS PROVIDÊNCIAS.</t>
        </is>
      </c>
      <c r="E28" s="2" t="inlineStr">
        <is>
          <t>ELIKA TAKIMOTO</t>
        </is>
      </c>
      <c r="F28" s="2" t="inlineStr">
        <is>
          <t>VINICIUS COZZOLINO</t>
        </is>
      </c>
      <c r="G28" s="10" t="inlineStr">
        <is>
          <t>FAVORÁVEL</t>
        </is>
      </c>
    </row>
    <row r="29" ht="75" customHeight="1" s="79">
      <c r="A29" s="68">
        <f>RIGHT(C29,4)</f>
        <v/>
      </c>
      <c r="B29" s="68">
        <f>LEFT(C29, LEN(C29) - 5)</f>
        <v/>
      </c>
      <c r="C29" s="2" t="inlineStr">
        <is>
          <t>4478/2024</t>
        </is>
      </c>
      <c r="D29" s="2" t="inlineStr">
        <is>
          <t>DISPÕE SOBRE A VIABILIZAÇÃO DE PAGAMENTO DE TRIBUTOS, TAXAS E MULTAS DE VEÍCULOS AUTOMOTORES DURANTE ABORDAGEM POR AUTORIDADES DE TRÂNSITO EM OPERAÇÕES NAS VIAS E  DÁ OUTRAS PROVIDÊNCIAS.</t>
        </is>
      </c>
      <c r="E29" s="2" t="inlineStr">
        <is>
          <t>GIOVANI RATINHO,RAFAEL NOBRE,TH JOIAS,VAL CEASA,VALDECY DA SAÚDE</t>
        </is>
      </c>
      <c r="F29" s="2" t="inlineStr">
        <is>
          <t>VINICIUS COZZOLINO</t>
        </is>
      </c>
      <c r="G29" s="10" t="inlineStr">
        <is>
          <t>FAVORÁVEL</t>
        </is>
      </c>
    </row>
    <row r="30" ht="45" customHeight="1" s="79">
      <c r="A30" s="68">
        <f>RIGHT(C30,4)</f>
        <v/>
      </c>
      <c r="B30" s="68">
        <f>LEFT(C30, LEN(C30) - 5)</f>
        <v/>
      </c>
      <c r="C30" s="2" t="inlineStr">
        <is>
          <t>1643/2019</t>
        </is>
      </c>
      <c r="D30" s="2" t="inlineStr">
        <is>
          <t>INSTITUI A OUVIDORIA ESPECIAL SOBRE VIOLÊNCIA OBSTÉTRICA NO ÂMBITO DO ESTADO DO RIO DE JANEIRO E DÁ OUTRAS PROVIDÊNCIAS</t>
        </is>
      </c>
      <c r="E30" s="2" t="inlineStr">
        <is>
          <t>COMISSÃO PARLAMENTAR DE INQUÉRITO INSTITUÍDA PELA RESOLUÇÃO Nº 05/2019</t>
        </is>
      </c>
      <c r="F30" s="18" t="inlineStr">
        <is>
          <t>ZEIDAN</t>
        </is>
      </c>
      <c r="G30" s="10" t="inlineStr">
        <is>
          <t>FAVORÁVEL</t>
        </is>
      </c>
    </row>
    <row r="31" ht="60" customHeight="1" s="79">
      <c r="A31" s="68">
        <f>RIGHT(C31,4)</f>
        <v/>
      </c>
      <c r="B31" s="68">
        <f>LEFT(C31, LEN(C31) - 5)</f>
        <v/>
      </c>
      <c r="C31" s="73" t="inlineStr">
        <is>
          <t>1961/2023</t>
        </is>
      </c>
      <c r="D31" s="2" t="inlineStr">
        <is>
          <t>DISPÕE SOBRE A COLETA DE DADOS SOBRE SUICÍDIO, TENTATIVA DE SUICÍDIO E HOMICÍDIO SEGUIDO DE SUICÍDIO DOS AGENTES DE SEGURANÇA PÚBLICA, NO ÂMBITO DO ESTADO DO RIO DE JANEIRO.</t>
        </is>
      </c>
      <c r="E31" s="2" t="inlineStr">
        <is>
          <t>RENATA SOUZA</t>
        </is>
      </c>
      <c r="F31" s="18" t="inlineStr">
        <is>
          <t>ZEIDAN</t>
        </is>
      </c>
      <c r="G31" s="10" t="inlineStr">
        <is>
          <t>FAVORÁVEL COM AS EMENDAS DA COMISSÃO DE CONSTITUIÇÃO E JUSTIÇA</t>
        </is>
      </c>
    </row>
    <row r="32" ht="60" customHeight="1" s="79">
      <c r="A32" s="68">
        <f>RIGHT(C32,4)</f>
        <v/>
      </c>
      <c r="B32" s="68">
        <f>LEFT(C32, LEN(C32) - 5)</f>
        <v/>
      </c>
      <c r="C32" s="2" t="inlineStr">
        <is>
          <t>2734/2023</t>
        </is>
      </c>
      <c r="D32" s="2" t="inlineStr">
        <is>
          <t>INSTITUI O PROGRAMA DE CURSOS PROFISSIONALIZANTES DA CULTURA HIP HOP NAS UNIDADES DO DEPARTAMENTO GERAL DE AÇÕES SOCIOEDUCATIVAS - DEGASE.</t>
        </is>
      </c>
      <c r="E32" s="2" t="inlineStr">
        <is>
          <t>DANI MONTEIRO</t>
        </is>
      </c>
      <c r="F32" s="18" t="inlineStr">
        <is>
          <t>ZEIDAN</t>
        </is>
      </c>
      <c r="G32" s="10" t="inlineStr">
        <is>
          <t>FAVORÁVEL COM AS EMENDAS DA COMISSÃO DE CONSTITUIÇÃO E JUSTIÇA</t>
        </is>
      </c>
    </row>
    <row r="33" ht="75" customHeight="1" s="79">
      <c r="A33" s="68">
        <f>RIGHT(C33,4)</f>
        <v/>
      </c>
      <c r="B33" s="68">
        <f>LEFT(C33, LEN(C33) - 5)</f>
        <v/>
      </c>
      <c r="C33" s="73" t="inlineStr">
        <is>
          <t>2984/2024</t>
        </is>
      </c>
      <c r="D33" s="2" t="inlineStr">
        <is>
          <t>“GARANTE ÀS PESSOAS COM TRANSTORNO DO ESPECTRO AUTISTA-TEA, INDEPENDENTE  DA AQUISIÇÃO DA MAIORIDADE, A GARANTIA DE TODOS OS DIREITOS ESTABELECIDOS NA LEI 13.146 DE 06 DE JULHO DE 2015 E DÁ OUTRAS PROVIDÊNCIAS."</t>
        </is>
      </c>
      <c r="E33" s="2" t="inlineStr">
        <is>
          <t>FRED PACHECO</t>
        </is>
      </c>
      <c r="F33" s="18" t="inlineStr">
        <is>
          <t>ZEIDAN</t>
        </is>
      </c>
      <c r="G33" s="10" t="inlineStr">
        <is>
          <t>FAVORÁVEL</t>
        </is>
      </c>
    </row>
    <row r="34" ht="30" customHeight="1" s="79">
      <c r="A34" s="68">
        <f>RIGHT(C34,4)</f>
        <v/>
      </c>
      <c r="B34" s="68">
        <f>LEFT(C34, LEN(C34) - 5)</f>
        <v/>
      </c>
      <c r="C34" s="2" t="inlineStr">
        <is>
          <t>3394/2024</t>
        </is>
      </c>
      <c r="D34" s="2" t="inlineStr">
        <is>
          <t>DISPÕE SOBRE O RECAMBIAMENTO DE CRIANÇAS E ADOLESCENTES, NA FORMA QUE MENCIONA.</t>
        </is>
      </c>
      <c r="E34" s="2" t="inlineStr">
        <is>
          <t>MUNIR NETO</t>
        </is>
      </c>
      <c r="F34" s="18" t="inlineStr">
        <is>
          <t>ZEIDAN</t>
        </is>
      </c>
      <c r="G34" s="10" t="inlineStr">
        <is>
          <t>FAVORÁVEL</t>
        </is>
      </c>
    </row>
    <row r="35" ht="60" customHeight="1" s="79">
      <c r="A35" s="68">
        <f>RIGHT(C35,4)</f>
        <v/>
      </c>
      <c r="B35" s="68">
        <f>LEFT(C35, LEN(C35) - 5)</f>
        <v/>
      </c>
      <c r="C35" s="73" t="inlineStr">
        <is>
          <t>3466/2024</t>
        </is>
      </c>
      <c r="D35" s="2" t="inlineStr">
        <is>
          <t>REVOGA A LEI Nº 2.789, DE 15 DE SETEMBRO DE 1997, QUE PROÍBE A UTILIZAÇÃO DE VEÍCULOS DE 2 (DUAS) RODAS NO TRANSPORTE DE PASSAGEIROS E DÁ OUTRAS PROVIDÊNCIAS.</t>
        </is>
      </c>
      <c r="E35" s="2" t="inlineStr">
        <is>
          <t>INDIA ARMELAU</t>
        </is>
      </c>
      <c r="F35" s="18" t="inlineStr">
        <is>
          <t>ZEIDAN</t>
        </is>
      </c>
      <c r="G35" s="10" t="inlineStr">
        <is>
          <t>FAVORÁVEL</t>
        </is>
      </c>
    </row>
  </sheetData>
  <mergeCells count="1">
    <mergeCell ref="C1:G1"/>
  </mergeCells>
  <hyperlinks>
    <hyperlink xmlns:r="http://schemas.openxmlformats.org/officeDocument/2006/relationships" ref="C3" r:id="rId1"/>
    <hyperlink xmlns:r="http://schemas.openxmlformats.org/officeDocument/2006/relationships" ref="C4" r:id="rId2"/>
    <hyperlink xmlns:r="http://schemas.openxmlformats.org/officeDocument/2006/relationships" ref="C5" r:id="rId3"/>
    <hyperlink xmlns:r="http://schemas.openxmlformats.org/officeDocument/2006/relationships" ref="C6" r:id="rId4"/>
    <hyperlink xmlns:r="http://schemas.openxmlformats.org/officeDocument/2006/relationships" ref="C7" r:id="rId5"/>
    <hyperlink xmlns:r="http://schemas.openxmlformats.org/officeDocument/2006/relationships" ref="C8" r:id="rId6"/>
    <hyperlink xmlns:r="http://schemas.openxmlformats.org/officeDocument/2006/relationships" ref="C10" r:id="rId7"/>
    <hyperlink xmlns:r="http://schemas.openxmlformats.org/officeDocument/2006/relationships" ref="C11" r:id="rId8"/>
    <hyperlink xmlns:r="http://schemas.openxmlformats.org/officeDocument/2006/relationships" ref="C12" r:id="rId9"/>
    <hyperlink xmlns:r="http://schemas.openxmlformats.org/officeDocument/2006/relationships" ref="C13" r:id="rId10"/>
    <hyperlink xmlns:r="http://schemas.openxmlformats.org/officeDocument/2006/relationships" ref="C14" r:id="rId11"/>
    <hyperlink xmlns:r="http://schemas.openxmlformats.org/officeDocument/2006/relationships" ref="C15" r:id="rId12"/>
    <hyperlink xmlns:r="http://schemas.openxmlformats.org/officeDocument/2006/relationships" ref="C16" r:id="rId13"/>
    <hyperlink xmlns:r="http://schemas.openxmlformats.org/officeDocument/2006/relationships" ref="C17" r:id="rId14"/>
    <hyperlink xmlns:r="http://schemas.openxmlformats.org/officeDocument/2006/relationships" ref="C18" r:id="rId15"/>
    <hyperlink xmlns:r="http://schemas.openxmlformats.org/officeDocument/2006/relationships" ref="C19" r:id="rId16"/>
    <hyperlink xmlns:r="http://schemas.openxmlformats.org/officeDocument/2006/relationships" ref="C20" r:id="rId17"/>
    <hyperlink xmlns:r="http://schemas.openxmlformats.org/officeDocument/2006/relationships" ref="C21" r:id="rId18"/>
    <hyperlink xmlns:r="http://schemas.openxmlformats.org/officeDocument/2006/relationships" ref="C22" r:id="rId19"/>
    <hyperlink xmlns:r="http://schemas.openxmlformats.org/officeDocument/2006/relationships" ref="C23" r:id="rId20"/>
    <hyperlink xmlns:r="http://schemas.openxmlformats.org/officeDocument/2006/relationships" ref="C24" r:id="rId21"/>
    <hyperlink xmlns:r="http://schemas.openxmlformats.org/officeDocument/2006/relationships" ref="C25" r:id="rId22"/>
    <hyperlink xmlns:r="http://schemas.openxmlformats.org/officeDocument/2006/relationships" ref="C26" r:id="rId23"/>
    <hyperlink xmlns:r="http://schemas.openxmlformats.org/officeDocument/2006/relationships" ref="C27" r:id="rId24"/>
    <hyperlink xmlns:r="http://schemas.openxmlformats.org/officeDocument/2006/relationships" ref="C28" r:id="rId25"/>
    <hyperlink xmlns:r="http://schemas.openxmlformats.org/officeDocument/2006/relationships" ref="C29" r:id="rId26"/>
    <hyperlink xmlns:r="http://schemas.openxmlformats.org/officeDocument/2006/relationships" ref="C31" r:id="rId27"/>
    <hyperlink xmlns:r="http://schemas.openxmlformats.org/officeDocument/2006/relationships" ref="C33" r:id="rId28"/>
    <hyperlink xmlns:r="http://schemas.openxmlformats.org/officeDocument/2006/relationships" ref="C35" r:id="rId29"/>
  </hyperlinks>
  <pageMargins left="0.25" right="0.25" top="0.75" bottom="0.75" header="0.3" footer="0.3"/>
  <pageSetup orientation="portrait" paperSize="9" scale="77" fitToHeight="0"/>
</worksheet>
</file>

<file path=xl/worksheets/sheet4.xml><?xml version="1.0" encoding="utf-8"?>
<worksheet xmlns="http://schemas.openxmlformats.org/spreadsheetml/2006/main">
  <sheetPr>
    <outlinePr summaryBelow="1" summaryRight="1"/>
    <pageSetUpPr fitToPage="1"/>
  </sheetPr>
  <dimension ref="A1:E80"/>
  <sheetViews>
    <sheetView workbookViewId="0">
      <selection activeCell="C2" sqref="C2"/>
    </sheetView>
  </sheetViews>
  <sheetFormatPr baseColWidth="8" defaultRowHeight="15"/>
  <cols>
    <col width="14.85546875" customWidth="1" style="79" min="2" max="2"/>
    <col width="12.42578125" bestFit="1" customWidth="1" style="79" min="3" max="3"/>
    <col width="49.85546875" customWidth="1" style="79" min="4" max="4"/>
    <col width="41.140625" customWidth="1" style="79" min="5" max="5"/>
  </cols>
  <sheetData>
    <row r="1" ht="28.5" customHeight="1" s="79">
      <c r="C1" s="76" t="inlineStr">
        <is>
          <t>PROJETOS SEM RELATORIA
COMISSÃO DE ORÇAMENTO</t>
        </is>
      </c>
      <c r="D1" s="81" t="n"/>
      <c r="E1" s="82" t="n"/>
    </row>
    <row r="2">
      <c r="A2" s="65" t="inlineStr">
        <is>
          <t>ANO</t>
        </is>
      </c>
      <c r="B2" s="69" t="inlineStr">
        <is>
          <t>NUM</t>
        </is>
      </c>
      <c r="C2" s="65" t="inlineStr">
        <is>
          <t>Nº PL</t>
        </is>
      </c>
      <c r="D2" s="65" t="inlineStr">
        <is>
          <t>EMENTA</t>
        </is>
      </c>
      <c r="E2" s="65" t="inlineStr">
        <is>
          <t>AUTOR</t>
        </is>
      </c>
    </row>
    <row r="3" ht="75" customHeight="1" s="79">
      <c r="A3" s="68">
        <f>RIGHT(C3,4)</f>
        <v/>
      </c>
      <c r="B3" s="70">
        <f>LEFT(C3, LEN(C3) - 5)</f>
        <v/>
      </c>
      <c r="C3" s="66" t="inlineStr">
        <is>
          <t>2226/2013</t>
        </is>
      </c>
      <c r="D3" s="67" t="inlineStr">
        <is>
          <t>DISPÕE SOBRE A CRIAÇÃO DO PROGRAMA ESTADUAL DE PREVENÇÃO E COMBATE À CISTICERCOSE, A SER IMPLANTADO EM TODAS AS ESCOLAS E CRECHES LOCALIZADAS NO ÂMBITO DO ESTADO DO RIO DE JANEIRO.</t>
        </is>
      </c>
      <c r="E3" s="67" t="inlineStr">
        <is>
          <t>BERNARDO ROSSI</t>
        </is>
      </c>
    </row>
    <row r="4" ht="60" customHeight="1" s="79">
      <c r="A4" s="68">
        <f>RIGHT(C4,4)</f>
        <v/>
      </c>
      <c r="B4" s="70">
        <f>LEFT(C4, LEN(C4) - 5)</f>
        <v/>
      </c>
      <c r="C4" s="66" t="inlineStr">
        <is>
          <t>238/2015</t>
        </is>
      </c>
      <c r="D4" s="67" t="inlineStr">
        <is>
          <t>ESTABELECE A POLÍTICA ESTADUAL DE MOBILIDADE URBANA E REGIONAL, INSTITUI O SISTEMA ESTADUAL DE TRANSPORTE PÚBLICO E MOBILIDADE E DÁ OUTRAS PROVIDÊNCIAS.</t>
        </is>
      </c>
      <c r="E4" s="67" t="inlineStr">
        <is>
          <t>ELIOMAR COELHO</t>
        </is>
      </c>
    </row>
    <row r="5" ht="30" customHeight="1" s="79">
      <c r="A5" s="68">
        <f>RIGHT(C5,4)</f>
        <v/>
      </c>
      <c r="B5" s="70">
        <f>LEFT(C5, LEN(C5) - 5)</f>
        <v/>
      </c>
      <c r="C5" s="66" t="inlineStr">
        <is>
          <t>EP 10/2015</t>
        </is>
      </c>
      <c r="D5" s="67" t="inlineStr">
        <is>
          <t>CRIA AS DELEGACIAS ESPECIALIZADAS EM ACIDENTES DO TRABALHO NO ESTADO DO RIO DE JANEIRO.</t>
        </is>
      </c>
      <c r="E5" s="67" t="inlineStr">
        <is>
          <t>PAULO RAMOS</t>
        </is>
      </c>
    </row>
    <row r="6" ht="60" customHeight="1" s="79">
      <c r="A6" s="68">
        <f>RIGHT(C6,4)</f>
        <v/>
      </c>
      <c r="B6" s="70">
        <f>LEFT(C6, LEN(C6) - 5)</f>
        <v/>
      </c>
      <c r="C6" s="66" t="inlineStr">
        <is>
          <t>2739/2017</t>
        </is>
      </c>
      <c r="D6" s="67" t="inlineStr">
        <is>
          <t>ALTERA A LEI Nº 5.065, DE 05 DE JULHO DE 2007, PARA INSTITUIR INCENTIVO À RECICLAGEM DO ÓLEO DE COZINHA PARA A PRODUÇÃO DE BIODIESEL, NA FORMA QUE MENCIONA.</t>
        </is>
      </c>
      <c r="E6" s="67" t="inlineStr">
        <is>
          <t>ÁTILA NUNES</t>
        </is>
      </c>
    </row>
    <row r="7" ht="60" customHeight="1" s="79">
      <c r="A7" s="68">
        <f>RIGHT(C7,4)</f>
        <v/>
      </c>
      <c r="B7" s="70">
        <f>LEFT(C7, LEN(C7) - 5)</f>
        <v/>
      </c>
      <c r="C7" s="66" t="inlineStr">
        <is>
          <t>EP 2417/2017</t>
        </is>
      </c>
      <c r="D7" s="67" t="inlineStr">
        <is>
          <t>ALTERA A LEI Nº 4.808, DE 04 DE JULHO DE 2006, PARA CRIAR O PROGRAMA "ADOTE UM AMIGO" NA REDE DE ENSINO PÚBLICO E PRIVADO DO ESTADO DO RIO DE JANEIRO.</t>
        </is>
      </c>
      <c r="E7" s="67" t="inlineStr">
        <is>
          <t>ÁTILA NUNES</t>
        </is>
      </c>
    </row>
    <row r="8" ht="105" customHeight="1" s="79">
      <c r="A8" s="68">
        <f>RIGHT(C8,4)</f>
        <v/>
      </c>
      <c r="B8" s="70">
        <f>LEFT(C8, LEN(C8) - 5)</f>
        <v/>
      </c>
      <c r="C8" s="66" t="inlineStr">
        <is>
          <t>EP 3655/2017</t>
        </is>
      </c>
      <c r="D8" s="67" t="inlineStr">
        <is>
          <t>ALTERA A LEI Nº 7.108, DE 19 DE NOVEMBRO DE 2015, PARA INSTITUIR NO CALENDÁRIO OFICIAL DO RIO DE JANEIRO O DIA  DE LUTA CONTRA O HIV/AIDS, BEM COMO IMPLEMENTAR AÇÕES DE PREVENÇÃO ÀS DOENÇAS SEXUALMENTE TRANSMISSÍVEIS  - DST E AO HIV/AIDS NA CAMPANHA DENOMINADA “DEZEMBRO VERMELHO”.</t>
        </is>
      </c>
      <c r="E8" s="67" t="inlineStr">
        <is>
          <t>ÁTILA NUNES</t>
        </is>
      </c>
    </row>
    <row r="9" ht="75" customHeight="1" s="79">
      <c r="A9" s="68">
        <f>RIGHT(C9,4)</f>
        <v/>
      </c>
      <c r="B9" s="70">
        <f>LEFT(C9, LEN(C9) - 5)</f>
        <v/>
      </c>
      <c r="C9" s="66" t="inlineStr">
        <is>
          <t>EP 3674/2017</t>
        </is>
      </c>
      <c r="D9" s="67" t="inlineStr">
        <is>
          <t>ALTERA A LEI Nº 5.196, DE 05 DE MARÇO DE 2008, PARA ACRESCENTAR DIRETRIZES A SEREM EXECUTADAS PELO PROGRAMA DE COMBATE À OBESIDADE DO ESTUDANTE DAS REDES PÚBLICA E PRIVADA DE ENSINO, NA FORMA QUE MENCIONA.</t>
        </is>
      </c>
      <c r="E9" s="67" t="inlineStr">
        <is>
          <t>ÁTILA NUNES</t>
        </is>
      </c>
    </row>
    <row r="10" ht="135" customHeight="1" s="79">
      <c r="A10" s="68">
        <f>RIGHT(C10,4)</f>
        <v/>
      </c>
      <c r="B10" s="70">
        <f>LEFT(C10, LEN(C10) - 5)</f>
        <v/>
      </c>
      <c r="C10" s="66" t="inlineStr">
        <is>
          <t>148/2019</t>
        </is>
      </c>
      <c r="D10" s="67" t="inlineStr">
        <is>
          <t>DISPÕE SOBRE MEDIDAS NECESSSÁRIAS PARA RESSARCIMENTO DO CONTRIBUINTE QUE EFETUOU O PAGAMENTO DO IPVA (IMPOSTO SOBRE A PROPRIEDADE DE VEÍCULOS AUTOMOTORES), BEM COMO, TAXA DE LICENCIAMENTO ANUAL DE VEÍCULOS PARA EMISSÃO DO CERTIFICADO DE REGISTRO  E LICENCIAMENTO DE VEÍCULO, EM DOBRO OU DE FORMA IRREGULAR E DÁ  OUTRAS PROVIDÊNCIAS.</t>
        </is>
      </c>
      <c r="E10" s="67" t="inlineStr">
        <is>
          <t>CHICO MACHADO</t>
        </is>
      </c>
    </row>
    <row r="11" ht="45" customHeight="1" s="79">
      <c r="A11" s="68">
        <f>RIGHT(C11,4)</f>
        <v/>
      </c>
      <c r="B11" s="70">
        <f>LEFT(C11, LEN(C11) - 5)</f>
        <v/>
      </c>
      <c r="C11" s="66" t="inlineStr">
        <is>
          <t>561/2019</t>
        </is>
      </c>
      <c r="D11" s="67" t="inlineStr">
        <is>
          <t>DISPÕE SOBRE A TRANSPARÊNCIA DOS REGISTROS DA ÁREA DA SEGURANÇA PÚBLICA E DÁ OUTRAS PROVIDÊNCIAS.</t>
        </is>
      </c>
      <c r="E11" s="67" t="inlineStr">
        <is>
          <t>MÁRCIO CANELLA</t>
        </is>
      </c>
    </row>
    <row r="12" ht="30" customHeight="1" s="79">
      <c r="A12" s="68">
        <f>RIGHT(C12,4)</f>
        <v/>
      </c>
      <c r="B12" s="70">
        <f>LEFT(C12, LEN(C12) - 5)</f>
        <v/>
      </c>
      <c r="C12" s="66" t="inlineStr">
        <is>
          <t>886/2019</t>
        </is>
      </c>
      <c r="D12" s="67" t="inlineStr">
        <is>
          <t>DISPÕE SOBRE A PRÁTICA DE JOGOS ELETRÔNICOS COMO ATIVIDADE ESPORTIVA E CULTURAL.</t>
        </is>
      </c>
      <c r="E12" s="67" t="inlineStr">
        <is>
          <t>MARCELO DO SEU DINO</t>
        </is>
      </c>
    </row>
    <row r="13" ht="45" customHeight="1" s="79">
      <c r="A13" s="68">
        <f>RIGHT(C13,4)</f>
        <v/>
      </c>
      <c r="B13" s="70">
        <f>LEFT(C13, LEN(C13) - 5)</f>
        <v/>
      </c>
      <c r="C13" s="66" t="inlineStr">
        <is>
          <t>1169/2019</t>
        </is>
      </c>
      <c r="D13" s="67" t="inlineStr">
        <is>
          <t>DISPÕE SOBRE O PROGRAMA ESTADUAL DE INCENTIVO AO MONTANHISMO E DÁ OUTRAS PROVIDÊNCIAS.</t>
        </is>
      </c>
      <c r="E13" s="67" t="inlineStr">
        <is>
          <t>CARLOS MINC</t>
        </is>
      </c>
    </row>
    <row r="14" ht="105" customHeight="1" s="79">
      <c r="A14" s="68">
        <f>RIGHT(C14,4)</f>
        <v/>
      </c>
      <c r="B14" s="70">
        <f>LEFT(C14, LEN(C14) - 5)</f>
        <v/>
      </c>
      <c r="C14" s="66" t="inlineStr">
        <is>
          <t>EP 1605/2019</t>
        </is>
      </c>
      <c r="D14" s="67" t="inlineStr">
        <is>
          <t>EMENTA: CRIA O PROGRAMA DE FORMAÇÃO PARA ENFRENTAMENTO DA VIOLÊNCIA CONTRA AS ESTUDANTES, VOLTADO AOS DOCENTES E CORPO FUNCIONAL, PARA IDENTIFICAÇAO E ENCAMINHAMENTO DOS CASOS DE ABUSOS/VIOLÊNCIA, NO ÂMBITO DAS ESCOLAS ESTADUAIS DO ESTADO DO RIO DE JANEIRO.</t>
        </is>
      </c>
      <c r="E14" s="67" t="inlineStr">
        <is>
          <t>ENFERMEIRA REJANE,CHICÃO BULHÕES,DANI MONTEIRO,MARTHA ROCHA,MÔNICA FRANCISCO,RENATA SOUZA,ROSANE FÉLIX,ZEIDAN LULA,TIA JU</t>
        </is>
      </c>
    </row>
    <row r="15" ht="45" customHeight="1" s="79">
      <c r="A15" s="68">
        <f>RIGHT(C15,4)</f>
        <v/>
      </c>
      <c r="B15" s="70">
        <f>LEFT(C15, LEN(C15) - 5)</f>
        <v/>
      </c>
      <c r="C15" s="66" t="inlineStr">
        <is>
          <t>1984/2020</t>
        </is>
      </c>
      <c r="D15" s="67" t="inlineStr">
        <is>
          <t>AUTORIZA O PODER EXECUTIVO A ADOTAR MEDIDAS DE CONTENÇÃO À EPIDEMIAS VIRAIS NO ESTADO DO RIO DE JANEIRO.</t>
        </is>
      </c>
      <c r="E15" s="67" t="inlineStr">
        <is>
          <t>ANDRÉ L. CECILIANO</t>
        </is>
      </c>
    </row>
    <row r="16" ht="75" customHeight="1" s="79">
      <c r="A16" s="68">
        <f>RIGHT(C16,4)</f>
        <v/>
      </c>
      <c r="B16" s="70">
        <f>LEFT(C16, LEN(C16) - 5)</f>
        <v/>
      </c>
      <c r="C16" s="66" t="inlineStr">
        <is>
          <t>2139/2020</t>
        </is>
      </c>
      <c r="D16" s="67" t="inlineStr">
        <is>
          <t>MODIFICA A LEI N° 6.041/2011 PARA AMPLIAR A POSSIBILIDADE DE TRANSFERÊNCIA VOLUNTÁRIA DE RECURSOS DO FUNDO ESPECIAL DA ASSEMBLEIA LEGISLATIVA DO ESTADO DO RIO DE JANEIRO PARA OUTROS ENTES DA FEDERAÇÃO.</t>
        </is>
      </c>
      <c r="E16" s="67" t="inlineStr">
        <is>
          <t>FLÁVIO SERAFINI,RENATA SOUZA,MÔNICA FRANCISCO,DANI MONTEIRO</t>
        </is>
      </c>
    </row>
    <row r="17" ht="60" customHeight="1" s="79">
      <c r="A17" s="68">
        <f>RIGHT(C17,4)</f>
        <v/>
      </c>
      <c r="B17" s="70">
        <f>LEFT(C17, LEN(C17) - 5)</f>
        <v/>
      </c>
      <c r="C17" s="66" t="inlineStr">
        <is>
          <t>2470/2020</t>
        </is>
      </c>
      <c r="D17" s="67" t="inlineStr">
        <is>
          <t>DISPÕE SOBRE A OBRIGATORIEDADE DE LIMITAR O TEMPO DE ESPERA DE ATENDIMENTO NAS UNIDADES DE SAÚDE DA REDE PÚBLICA DO ESTADO DO RIO DE JANEIRO E DÁ OUTRAS PROVIDÊNCIAS.</t>
        </is>
      </c>
      <c r="E17" s="67" t="inlineStr">
        <is>
          <t>DANNIEL LIBRELON</t>
        </is>
      </c>
    </row>
    <row r="18" ht="90" customHeight="1" s="79">
      <c r="A18" s="68">
        <f>RIGHT(C18,4)</f>
        <v/>
      </c>
      <c r="B18" s="70">
        <f>LEFT(C18, LEN(C18) - 5)</f>
        <v/>
      </c>
      <c r="C18" s="66" t="inlineStr">
        <is>
          <t>2630/2020</t>
        </is>
      </c>
      <c r="D18" s="67" t="inlineStr">
        <is>
          <t>AUTORIZA O PODER EXECUTIVO A CONVOCAR TODOS OS APROVADOS E EM CADASTRO DE RESERVA PARA PROVIMENTO DE CARGO DE OFICIAL DE CARTÓRIO POLICIAL DE 6ª CLASSE NO ÂMBITO DA POLÍCIA CIVIL DO ESTADO DO RIO DE JANEIRO REALIZADO NO ANO DE 2013, E DÁ OUTRAS PROVIDÊNCIAS</t>
        </is>
      </c>
      <c r="E18" s="67" t="inlineStr">
        <is>
          <t>RODRIGO AMORIM,BRUNO DAUAIRE</t>
        </is>
      </c>
    </row>
    <row r="19" ht="120" customHeight="1" s="79">
      <c r="A19" s="68">
        <f>RIGHT(C19,4)</f>
        <v/>
      </c>
      <c r="B19" s="70">
        <f>LEFT(C19, LEN(C19) - 5)</f>
        <v/>
      </c>
      <c r="C19" s="66" t="inlineStr">
        <is>
          <t>2666/2020</t>
        </is>
      </c>
      <c r="D19" s="67" t="inlineStr">
        <is>
          <t>ALTERA A LEI Nº 6629, DE 12 DE DEZEMBRO DE 2013 “OBRIGA OS HOSPITAIS PARTICULARES LOCALIZADOS NO ESTADO DO RIO DE JANEIRO A DIVULGAREM, EM LOCAL DE FÁCIL VISUALIZAÇÃO, QUADRO CONTENDO A ATUALIZAÇÃO DE LEITOS DISPONÍVEIS”, PARA INCLUIR AS CLÍNICAS PARTICULARES E ESTABELECER MULTA DIÁRIA NOS CASOS DE DESCUMPRIMENTO DA NORMA E DÁ OUTRAS PROVIDÊNCIAS.</t>
        </is>
      </c>
      <c r="E19" s="67" t="inlineStr">
        <is>
          <t>CARLOS MINC</t>
        </is>
      </c>
    </row>
    <row r="20" ht="45" customHeight="1" s="79">
      <c r="A20" s="68">
        <f>RIGHT(C20,4)</f>
        <v/>
      </c>
      <c r="B20" s="70">
        <f>LEFT(C20, LEN(C20) - 5)</f>
        <v/>
      </c>
      <c r="C20" s="66" t="inlineStr">
        <is>
          <t>2948/2020</t>
        </is>
      </c>
      <c r="D20" s="67" t="inlineStr">
        <is>
          <t>INSTITUI O PROGRAMA DE SAÚDE DO ESTADO DO RIO DE JANEIRO - PROSERJ, NA FORMA QUE MENCIONA E DÁ OUTRAS PROVIDÊNCIAS</t>
        </is>
      </c>
      <c r="E20" s="67" t="inlineStr">
        <is>
          <t>VALDECY DA SAUDE</t>
        </is>
      </c>
    </row>
    <row r="21" ht="60" customHeight="1" s="79">
      <c r="A21" s="68">
        <f>RIGHT(C21,4)</f>
        <v/>
      </c>
      <c r="B21" s="70">
        <f>LEFT(C21, LEN(C21) - 5)</f>
        <v/>
      </c>
      <c r="C21" s="66" t="inlineStr">
        <is>
          <t>3189/2020</t>
        </is>
      </c>
      <c r="D21" s="67" t="inlineStr">
        <is>
          <t>INSTITUI A CÂMARA DE CONCILIAÇÃO DE PRECATÓRIOS PREVISTA NO ART. 97, §8º, INCISO III, DO ATO DAS DISPOSIÇÕES CONSTITUCIONAIS TRANSITÓRIAS – ADCT DA CONSTITUIÇÃO FEDERAL.</t>
        </is>
      </c>
      <c r="E21" s="67" t="inlineStr">
        <is>
          <t>RODRIGO BACELLAR</t>
        </is>
      </c>
    </row>
    <row r="22" ht="45" customHeight="1" s="79">
      <c r="A22" s="68">
        <f>RIGHT(C22,4)</f>
        <v/>
      </c>
      <c r="B22" s="70">
        <f>LEFT(C22, LEN(C22) - 5)</f>
        <v/>
      </c>
      <c r="C22" s="66" t="inlineStr">
        <is>
          <t>3226/2020</t>
        </is>
      </c>
      <c r="D22" s="67" t="inlineStr">
        <is>
          <t>INSTITUI O PROGRAMA DE PROTEÇÃO A AGENTE DE SEGURANÇA PÚBLICA GESTANTE, NO ÂMBITO DO ESTADO DO RIO DE JANEIRO.</t>
        </is>
      </c>
      <c r="E22" s="67" t="inlineStr">
        <is>
          <t>ROSENVERG REIS</t>
        </is>
      </c>
    </row>
    <row r="23" ht="165" customHeight="1" s="79">
      <c r="A23" s="68">
        <f>RIGHT(C23,4)</f>
        <v/>
      </c>
      <c r="B23" s="70">
        <f>LEFT(C23, LEN(C23) - 5)</f>
        <v/>
      </c>
      <c r="C23" s="66" t="inlineStr">
        <is>
          <t>3713/2021</t>
        </is>
      </c>
      <c r="D23" s="67" t="inlineStr">
        <is>
          <t>AUTORIZA OS ÓRGÃOS E ENTIDADES INTEGRANTES DA ADMINISTRAÇÃO PÚBLICA DIRETA E INDIRETA DE QUALQUER DOS PODERES DO ESTADO, BEM COMO O MINISTÉRIO PÚBLICO ESTADUAL, O TRIBUNAL DE CONTAS DO ESTADO E A DEFENSORIA PÚBLICA DO ESTADO, A REALIZAR O DESCONTO NA REMUNERAÇÃO, PROVENTOS E PENSÕES DE SEUS MEMBROS OU SERVIDORES, ATIVOS OU INATIVOS, DO VALOR REFERENTE AO AUXÍLIO EMERGENCIAL RECEBIDO EM DESCONFORMIDADE COM A LEI FEDERAL Nº 13.982, DE 2 DE ABRIL DE 2020.</t>
        </is>
      </c>
      <c r="E23" s="67" t="inlineStr">
        <is>
          <t>RODRIGO BACELLAR</t>
        </is>
      </c>
    </row>
    <row r="24" ht="45" customHeight="1" s="79">
      <c r="A24" s="68">
        <f>RIGHT(C24,4)</f>
        <v/>
      </c>
      <c r="B24" s="70">
        <f>LEFT(C24, LEN(C24) - 5)</f>
        <v/>
      </c>
      <c r="C24" s="66" t="inlineStr">
        <is>
          <t>3895/2021</t>
        </is>
      </c>
      <c r="D24" s="67" t="inlineStr">
        <is>
          <t>DISPÕE SOBRE O CADASTRO ÚNICO PARA PROGRAMAS SOCIAIS DO GOVERNO DO ESTADO DO RIO DE JANEIRO – CADÚNICORJ</t>
        </is>
      </c>
      <c r="E24" s="67" t="inlineStr">
        <is>
          <t>MARTHA ROCHA</t>
        </is>
      </c>
    </row>
    <row r="25" ht="60" customHeight="1" s="79">
      <c r="A25" s="68">
        <f>RIGHT(C25,4)</f>
        <v/>
      </c>
      <c r="B25" s="70">
        <f>LEFT(C25, LEN(C25) - 5)</f>
        <v/>
      </c>
      <c r="C25" s="66" t="inlineStr">
        <is>
          <t>3898/2021</t>
        </is>
      </c>
      <c r="D25" s="67" t="inlineStr">
        <is>
          <t>DISPÕE SOBRE A CRIAÇÂO DE UMA COPA DE FUTSAL MASCULINA E FEMININA A SER DISPUTADA POR ALUNOS QUE REPRESENTEM AS ESCOLAS ESTADUAIS DO RIO DE JANEIRO</t>
        </is>
      </c>
      <c r="E25" s="67" t="inlineStr">
        <is>
          <t>MARCELO DINO</t>
        </is>
      </c>
    </row>
    <row r="26" ht="30" customHeight="1" s="79">
      <c r="A26" s="68">
        <f>RIGHT(C26,4)</f>
        <v/>
      </c>
      <c r="B26" s="70">
        <f>LEFT(C26, LEN(C26) - 5)</f>
        <v/>
      </c>
      <c r="C26" s="66" t="inlineStr">
        <is>
          <t>4803/2021</t>
        </is>
      </c>
      <c r="D26" s="67" t="inlineStr">
        <is>
          <t>DISPÕE SOBRE A IMPLANTAÇÃO DE ZOOPASSAGENS NO ESTADO DO RIO DE JANEIRO.</t>
        </is>
      </c>
      <c r="E26" s="67" t="inlineStr">
        <is>
          <t>GUSTAVO SCHMIDT</t>
        </is>
      </c>
    </row>
    <row r="27" ht="75" customHeight="1" s="79">
      <c r="A27" s="68">
        <f>RIGHT(C27,4)</f>
        <v/>
      </c>
      <c r="B27" s="70">
        <f>LEFT(C27, LEN(C27) - 5)</f>
        <v/>
      </c>
      <c r="C27" s="66" t="inlineStr">
        <is>
          <t>4882/2021</t>
        </is>
      </c>
      <c r="D27" s="67" t="inlineStr">
        <is>
          <t>AUTORIZA AO CHEFE DO PODER EXECUTIVO A CRIAR FORMAS SIMPLIFICADAS DE RECOLHIMENTOS DE IMPOSTOS, TAXAS, TRIBUTOS, MULTAS E CONTRIBUIÇÕES DE MELHORIAS ESTATUAIS E OUTRAS NO ÂMBITO DO ESTADO DO RIO DE JANEIRO</t>
        </is>
      </c>
      <c r="E27" s="67" t="inlineStr">
        <is>
          <t>CHICO MACHADO</t>
        </is>
      </c>
    </row>
    <row r="28" ht="45" customHeight="1" s="79">
      <c r="A28" s="68">
        <f>RIGHT(C28,4)</f>
        <v/>
      </c>
      <c r="B28" s="70">
        <f>LEFT(C28, LEN(C28) - 5)</f>
        <v/>
      </c>
      <c r="C28" s="66" t="inlineStr">
        <is>
          <t>4926/2021</t>
        </is>
      </c>
      <c r="D28" s="67" t="inlineStr">
        <is>
          <t>DISPÕE SOBRE O “PROGRAMA ESTADUAL DE VACINAÇÃO NAS ESCOLAS PÚBLICAS”, NO ÂMBITO DO ESTADO DO RIO DE JANEIRO.</t>
        </is>
      </c>
      <c r="E28" s="67" t="inlineStr">
        <is>
          <t>BRAZAO</t>
        </is>
      </c>
    </row>
    <row r="29" ht="45" customHeight="1" s="79">
      <c r="A29" s="68">
        <f>RIGHT(C29,4)</f>
        <v/>
      </c>
      <c r="B29" s="70">
        <f>LEFT(C29, LEN(C29) - 5)</f>
        <v/>
      </c>
      <c r="C29" s="66" t="inlineStr">
        <is>
          <t>EP 3800/2021</t>
        </is>
      </c>
      <c r="D29" s="67" t="inlineStr">
        <is>
          <t>ALTERA A LEI Nº 5883, DE 14 DE JANEIRO DE 2011. QUE INSTITUI O PROGRAMA CONDOMÍNIO SEGURO EM TODO ESTADO DO RIO DE JANEIRO.</t>
        </is>
      </c>
      <c r="E29" s="67" t="inlineStr">
        <is>
          <t>CARLOS MACEDO</t>
        </is>
      </c>
    </row>
    <row r="30" ht="60" customHeight="1" s="79">
      <c r="A30" s="68">
        <f>RIGHT(C30,4)</f>
        <v/>
      </c>
      <c r="B30" s="70">
        <f>LEFT(C30, LEN(C30) - 5)</f>
        <v/>
      </c>
      <c r="C30" s="66" t="inlineStr">
        <is>
          <t>5357/2022</t>
        </is>
      </c>
      <c r="D30" s="67" t="inlineStr">
        <is>
          <t>DISPÕE SOBRE A INSTITUIÇÃO DE CURSOS GRATUITOS DESTINADOS À MULHER GESTANTE, SOBRE CUIDADOS E ATENDIMENTOS EMERGENCIAIS A CRIANÇAS DE ZERO A SEIS ANOS E DÁ OUTRAS PROVIDÊNCIAS.</t>
        </is>
      </c>
      <c r="E30" s="67" t="inlineStr">
        <is>
          <t>MARTHA ROCHA</t>
        </is>
      </c>
    </row>
    <row r="31" ht="60" customHeight="1" s="79">
      <c r="A31" s="68">
        <f>RIGHT(C31,4)</f>
        <v/>
      </c>
      <c r="B31" s="70">
        <f>LEFT(C31, LEN(C31) - 5)</f>
        <v/>
      </c>
      <c r="C31" s="66" t="inlineStr">
        <is>
          <t>5439/2022</t>
        </is>
      </c>
      <c r="D31" s="67" t="inlineStr">
        <is>
          <t>AUTORIZA O PODER EXECUTIVO A PROCEDER A  REESTRUTURAÇÃO DAS CARREIRAS DOS SERVIDORES CIVIS DA POLÍCIA MILITAR E DO CORPO DE BOMBEIROS DO ESTADO DO RIO DE JANEIRO</t>
        </is>
      </c>
      <c r="E31" s="67" t="inlineStr">
        <is>
          <t>LUIZ PAULO,LUCINHA</t>
        </is>
      </c>
    </row>
    <row r="32" ht="45" customHeight="1" s="79">
      <c r="A32" s="68">
        <f>RIGHT(C32,4)</f>
        <v/>
      </c>
      <c r="B32" s="70">
        <f>LEFT(C32, LEN(C32) - 5)</f>
        <v/>
      </c>
      <c r="C32" s="66" t="inlineStr">
        <is>
          <t>5731/2022</t>
        </is>
      </c>
      <c r="D32" s="67" t="inlineStr">
        <is>
          <t>DISPÕE SOBRE O SALÁRIO BASE DOS PROFISSIONAIS DA SECRETARIA DE ESTADO DE EDUCAÇÃO (SEEDUC) E DE SEU QUADRO DE APOIO.</t>
        </is>
      </c>
      <c r="E32" s="67" t="inlineStr">
        <is>
          <t>SERGIO FERNANDES</t>
        </is>
      </c>
    </row>
    <row r="33" ht="45" customHeight="1" s="79">
      <c r="A33" s="68">
        <f>RIGHT(C33,4)</f>
        <v/>
      </c>
      <c r="B33" s="70">
        <f>LEFT(C33, LEN(C33) - 5)</f>
        <v/>
      </c>
      <c r="C33" s="66" t="inlineStr">
        <is>
          <t>5758/2022</t>
        </is>
      </c>
      <c r="D33" s="67" t="inlineStr">
        <is>
          <t>DISPÕE SOBRE A CRIAÇÃO DO PORTAL TEA PARA A PROMOÇÃO E A EFETIVAÇÃO DOS DIREITOS DA PESSOA COM TRANSTORNO DO ESPECTRO AUTISTA.</t>
        </is>
      </c>
      <c r="E33" s="67" t="inlineStr">
        <is>
          <t>ALANA PASSOS, Samuel Malafaia</t>
        </is>
      </c>
    </row>
    <row r="34" ht="60" customHeight="1" s="79">
      <c r="A34" s="68">
        <f>RIGHT(C34,4)</f>
        <v/>
      </c>
      <c r="B34" s="70">
        <f>LEFT(C34, LEN(C34) - 5)</f>
        <v/>
      </c>
      <c r="C34" s="66" t="inlineStr">
        <is>
          <t>6024/2022</t>
        </is>
      </c>
      <c r="D34" s="67" t="inlineStr">
        <is>
          <t>DISPÕE SOBRE A INSTALAÇÃO DE SISTEMA DE ALTO-FALANTE E MICROFONE PARA COMUNICAÇÃO NAS VIATURAS DAS POLÍCIAS MILITAR, CIVIL, PENAL E BOMBEIROS MILITARES.</t>
        </is>
      </c>
      <c r="E34" s="67" t="inlineStr">
        <is>
          <t>MARCELO DO SEU DINO</t>
        </is>
      </c>
    </row>
    <row r="35" ht="90" customHeight="1" s="79">
      <c r="A35" s="68">
        <f>RIGHT(C35,4)</f>
        <v/>
      </c>
      <c r="B35" s="70">
        <f>LEFT(C35, LEN(C35) - 5)</f>
        <v/>
      </c>
      <c r="C35" s="66" t="inlineStr">
        <is>
          <t>6164/2022</t>
        </is>
      </c>
      <c r="D35" s="67" t="inlineStr">
        <is>
          <t>ALTERA A LEI Nº 8.685 DE 23 DE DEZEMBRO DE 2019; A LEI Nº 5.577 DE 20 DE NOVEMBRO DE 2009; A LEI Nº 3.778, DE 15 DE MARÇO DE 2002 E DISPÕE SOBRE O ENSINO E A PRÁTICA DA CAPOEIRA NAS ATIVIDADES ESCOLARES DA REDE PÚBLICA ESTADUAL, NA FORMA QUE MENCIONA.</t>
        </is>
      </c>
      <c r="E35" s="67" t="inlineStr">
        <is>
          <t>CARLOS MINC</t>
        </is>
      </c>
    </row>
    <row r="36" ht="75" customHeight="1" s="79">
      <c r="A36" s="68">
        <f>RIGHT(C36,4)</f>
        <v/>
      </c>
      <c r="B36" s="70">
        <f>LEFT(C36, LEN(C36) - 5)</f>
        <v/>
      </c>
      <c r="C36" s="66" t="inlineStr">
        <is>
          <t>6425/2022</t>
        </is>
      </c>
      <c r="D36" s="67" t="inlineStr">
        <is>
          <t>ALTERA A LEI Nº 5.260, DE 11 DE JUNHO DE 2008, PARA REVOGAR A ALÍNEA “A”, DO INCISO II E A ALÍNEA “A” DO INCISO III, AMBAS DO ARTIGO 18, ONDE ESTABELECE O REGIME JURÍDICO PRÓPRIO E ÚNICO DA PREVIDÊNCIA SOCIAL E DÁ OUTRAS PROVIDÊNCIAS.</t>
        </is>
      </c>
      <c r="E36" s="67" t="inlineStr">
        <is>
          <t>CELIA JORDÃO</t>
        </is>
      </c>
    </row>
    <row r="37" ht="45" customHeight="1" s="79">
      <c r="A37" s="68">
        <f>RIGHT(C37,4)</f>
        <v/>
      </c>
      <c r="B37" s="70">
        <f>LEFT(C37, LEN(C37) - 5)</f>
        <v/>
      </c>
      <c r="C37" s="66" t="inlineStr">
        <is>
          <t>6432/2022</t>
        </is>
      </c>
      <c r="D37" s="67" t="inlineStr">
        <is>
          <t>DISPÕE SOBRE O FORNECIMENTO DE LEITE EM PÓ PARA CRIANÇAS NASCIDAS DE MÃES PORTADORAS DE VÍRUS HTLV.</t>
        </is>
      </c>
      <c r="E37" s="67" t="inlineStr">
        <is>
          <t>FRANCIANE MOTTA</t>
        </is>
      </c>
    </row>
    <row r="38" ht="60" customHeight="1" s="79">
      <c r="A38" s="68">
        <f>RIGHT(C38,4)</f>
        <v/>
      </c>
      <c r="B38" s="70">
        <f>LEFT(C38, LEN(C38) - 5)</f>
        <v/>
      </c>
      <c r="C38" s="66" t="inlineStr">
        <is>
          <t>19/2023</t>
        </is>
      </c>
      <c r="D38" s="67" t="inlineStr">
        <is>
          <t>DISPÕE SOBRE A MATRÍCULA DE FILHOS E/OU DEPENDENTES LEGAIS DE AGENTES DE SEGURANÇA PÚBLICA EM ESTABELECIMENTOS DA REDE PÚBLICA ESTADUAL DE ENSINO.</t>
        </is>
      </c>
      <c r="E38" s="67" t="inlineStr">
        <is>
          <t>ALAN LOPES</t>
        </is>
      </c>
    </row>
    <row r="39" ht="30" customHeight="1" s="79">
      <c r="A39" s="68">
        <f>RIGHT(C39,4)</f>
        <v/>
      </c>
      <c r="B39" s="70">
        <f>LEFT(C39, LEN(C39) - 5)</f>
        <v/>
      </c>
      <c r="C39" s="66" t="inlineStr">
        <is>
          <t>190/2023</t>
        </is>
      </c>
      <c r="D39" s="67" t="inlineStr">
        <is>
          <t>ALTERA-SE A LEI Nº 4.962 DE 20 DE DEZEMBRO DE 2006 E DÁ OUTRAS PROVIDÊNCIAS</t>
        </is>
      </c>
      <c r="E39" s="67" t="inlineStr">
        <is>
          <t>MARINA DO MST</t>
        </is>
      </c>
    </row>
    <row r="40" ht="45" customHeight="1" s="79">
      <c r="A40" s="68">
        <f>RIGHT(C40,4)</f>
        <v/>
      </c>
      <c r="B40" s="70">
        <f>LEFT(C40, LEN(C40) - 5)</f>
        <v/>
      </c>
      <c r="C40" s="66" t="inlineStr">
        <is>
          <t>262/2023</t>
        </is>
      </c>
      <c r="D40" s="67" t="inlineStr">
        <is>
          <t>INSTITUI O PROGRAMA DE SAÚDE DO TRABALHADOR DO TRÂNSITO NO ESTADO DO RIO DE JANEIRO - PROSAT, NA FORMA QUE MENCIONA.</t>
        </is>
      </c>
      <c r="E40" s="67" t="inlineStr">
        <is>
          <t>ANDERSON MORAES</t>
        </is>
      </c>
    </row>
    <row r="41" ht="75" customHeight="1" s="79">
      <c r="A41" s="68">
        <f>RIGHT(C41,4)</f>
        <v/>
      </c>
      <c r="B41" s="70">
        <f>LEFT(C41, LEN(C41) - 5)</f>
        <v/>
      </c>
      <c r="C41" s="66" t="inlineStr">
        <is>
          <t>423/2023</t>
        </is>
      </c>
      <c r="D41" s="67" t="inlineStr">
        <is>
          <t>DISPÕE SOBRE A CRIAÇÃO DO PROGRAMA DE GEORREFERÊNCIAMENTO PARA O MONITORAMENTO DAS CONSTRUÇÕES EM ÁREAS DE RISCO NO ÂMBITO DO ESTADO DO RIO DE JANEIRO E DÁ OUTRAS PROVIDÊNCIAS.</t>
        </is>
      </c>
      <c r="E41" s="67" t="inlineStr">
        <is>
          <t>BERNARDO ROSSI</t>
        </is>
      </c>
    </row>
    <row r="42" ht="75" customHeight="1" s="79">
      <c r="A42" s="68">
        <f>RIGHT(C42,4)</f>
        <v/>
      </c>
      <c r="B42" s="70">
        <f>LEFT(C42, LEN(C42) - 5)</f>
        <v/>
      </c>
      <c r="C42" s="66" t="inlineStr">
        <is>
          <t>448/2023</t>
        </is>
      </c>
      <c r="D42" s="67" t="inlineStr">
        <is>
          <t>DISPÕE SOBRE A PRIORIZAÇÃO DE TRANSFERÊNCIA DE ALUNOS MATRICULADOS NAS ESCOLAS DA REDE ESTADUAL DE ENSINO, EM RAZÃO DE INCAPACIDADE TEMPORÁRIA OU DEFINITIVA DAS UNIDADES ESTADUAIS.</t>
        </is>
      </c>
      <c r="E42" s="67" t="inlineStr">
        <is>
          <t>SERGIO FERNANDES</t>
        </is>
      </c>
    </row>
    <row r="43" ht="75" customHeight="1" s="79">
      <c r="A43" s="68">
        <f>RIGHT(C43,4)</f>
        <v/>
      </c>
      <c r="B43" s="70">
        <f>LEFT(C43, LEN(C43) - 5)</f>
        <v/>
      </c>
      <c r="C43" s="66" t="inlineStr">
        <is>
          <t>663/2023</t>
        </is>
      </c>
      <c r="D43" s="67" t="inlineStr">
        <is>
          <t>ALTERA O ANEXO DA LEI Nº 5.645, DE 6 DE JANEIRO DE 2010, INCLUINDO, NO CALENDÁRIO OFICIAL DO ESTADO DO RIO DE JANEIRO, A SEMANA DE COMUNICAÇÃO E MÍDIAS , COMO FOMENTO PARA REFLEXÕES SOBRE O SEU PAPEL NA EDUCAÇÃO.</t>
        </is>
      </c>
      <c r="E43" s="67" t="inlineStr">
        <is>
          <t>MUNIR NETO</t>
        </is>
      </c>
    </row>
    <row r="44" ht="105" customHeight="1" s="79">
      <c r="A44" s="68">
        <f>RIGHT(C44,4)</f>
        <v/>
      </c>
      <c r="B44" s="70">
        <f>LEFT(C44, LEN(C44) - 5)</f>
        <v/>
      </c>
      <c r="C44" s="66" t="inlineStr">
        <is>
          <t>671/2023</t>
        </is>
      </c>
      <c r="D44" s="67" t="inlineStr">
        <is>
          <t>DISPÕE SOBRE A OBRIGATORIEDADE DAS INSTITUIÇÕES DE ENSINO SUPERIOR FINANCIADAS PELO ESTADO DO RIO DE JANEIRO EM ENVIAR PRODUÇÕES CIENTÍFICAS CUJO OBJETO DISPONHA SOBRE TEMAS RELACIONADOS À MUNICIPALIDADE, AO MUNICÍPIO OBJETO DESTE ESTUDO, NA FORMA QUE MENCIONA.</t>
        </is>
      </c>
      <c r="E44" s="67" t="inlineStr">
        <is>
          <t>RENATO MIRANDA</t>
        </is>
      </c>
    </row>
    <row r="45" ht="45" customHeight="1" s="79">
      <c r="A45" s="68">
        <f>RIGHT(C45,4)</f>
        <v/>
      </c>
      <c r="B45" s="70">
        <f>LEFT(C45, LEN(C45) - 5)</f>
        <v/>
      </c>
      <c r="C45" s="66" t="inlineStr">
        <is>
          <t>742/2023</t>
        </is>
      </c>
      <c r="D45" s="67" t="inlineStr">
        <is>
          <t>DISPÕE SOBRE A CRIAÇÃO DE CADASTRO ESTADUAL PARA BLOQUEIO DO RECEBIMENTO DE LIGAÇÕES DE TELEMARKETING NO ESTADO DO RIO DE JANEIRO.</t>
        </is>
      </c>
      <c r="E45" s="67" t="inlineStr">
        <is>
          <t>VALDECY DA SAUDE</t>
        </is>
      </c>
    </row>
    <row r="46" ht="30" customHeight="1" s="79">
      <c r="A46" s="68">
        <f>RIGHT(C46,4)</f>
        <v/>
      </c>
      <c r="B46" s="70">
        <f>LEFT(C46, LEN(C46) - 5)</f>
        <v/>
      </c>
      <c r="C46" s="66" t="inlineStr">
        <is>
          <t>754/2023</t>
        </is>
      </c>
      <c r="D46" s="67" t="inlineStr">
        <is>
          <t>INSTITUI, NO ÂMBITO DO ESTADO DO RIO DE JANEIRO, O DISQUE AUTISMO.</t>
        </is>
      </c>
      <c r="E46" s="67" t="inlineStr">
        <is>
          <t>LUIZ CLAUDIO RIBEIRO</t>
        </is>
      </c>
    </row>
    <row r="47" ht="45" customHeight="1" s="79">
      <c r="A47" s="68">
        <f>RIGHT(C47,4)</f>
        <v/>
      </c>
      <c r="B47" s="70">
        <f>LEFT(C47, LEN(C47) - 5)</f>
        <v/>
      </c>
      <c r="C47" s="66" t="inlineStr">
        <is>
          <t>846/2023</t>
        </is>
      </c>
      <c r="D47" s="67" t="inlineStr">
        <is>
          <t>INSTITUI O SISTEMA ESTADUAL DE PROMOÇÃO À SEGURANÇA NAS UNIDADES E ESTABELECIMENTOS DE ENSINO PÚBLICOS E PRIVADOS DO ESTADO</t>
        </is>
      </c>
      <c r="E47" s="67" t="inlineStr">
        <is>
          <t>ELIKA TAKIMOTO, RENATO MACHADO, Yuri</t>
        </is>
      </c>
    </row>
    <row r="48" ht="45" customHeight="1" s="79">
      <c r="A48" s="68">
        <f>RIGHT(C48,4)</f>
        <v/>
      </c>
      <c r="B48" s="70">
        <f>LEFT(C48, LEN(C48) - 5)</f>
        <v/>
      </c>
      <c r="C48" s="66" t="inlineStr">
        <is>
          <t>924/2023</t>
        </is>
      </c>
      <c r="D48" s="67" t="inlineStr">
        <is>
          <t>ESTABELECE MEDIDAS DE SEGURANÇA AO ACESSO DE VISITANTES AS UNIDADES ESCOLARES PÚBLICAS DO ESTADO DO RIO DE JANEIRO</t>
        </is>
      </c>
      <c r="E48" s="67" t="inlineStr">
        <is>
          <t>ANDERSON MORAES</t>
        </is>
      </c>
    </row>
    <row r="49" ht="75" customHeight="1" s="79">
      <c r="A49" s="68">
        <f>RIGHT(C49,4)</f>
        <v/>
      </c>
      <c r="B49" s="70">
        <f>LEFT(C49, LEN(C49) - 5)</f>
        <v/>
      </c>
      <c r="C49" s="66" t="inlineStr">
        <is>
          <t>1171/2023</t>
        </is>
      </c>
      <c r="D49" s="67" t="inlineStr">
        <is>
          <t>TORNA OBRIGATÓRIA A DIVULGAÇÃO DE ALERTA EM EVENTOS ESPORTIVOS E ARTÍSTICOS NO ÂMBITO DO ESTADO DO RIO DE JANEIRO SOBRE OS CRIMES DE DISCRIMINAÇÃO OU PRECONCEITO DE RAÇA, COR, ETNIA, RELIGIÃO OU PROCEDÊNCIA NACIONAL.</t>
        </is>
      </c>
      <c r="E49" s="67" t="inlineStr">
        <is>
          <t>DOUGLAS RUAS</t>
        </is>
      </c>
    </row>
    <row r="50" ht="75" customHeight="1" s="79">
      <c r="A50" s="68">
        <f>RIGHT(C50,4)</f>
        <v/>
      </c>
      <c r="B50" s="70">
        <f>LEFT(C50, LEN(C50) - 5)</f>
        <v/>
      </c>
      <c r="C50" s="66" t="inlineStr">
        <is>
          <t>1237/2023</t>
        </is>
      </c>
      <c r="D50" s="67" t="inlineStr">
        <is>
          <t>DISPÕE SOBRE A IMPLANTAÇÃO DO PROGRAMA DE PREVENÇÃO E COMBATE A JOGOS QUE INDUZEM CRIANÇAS E ADOLESCENTES A PRÁTICA DE HOMICÍDIOS, AUTOMUTILAÇÃO E AO SUICÍDIO, NO ÂMBITO DO ESTADO DO RIO DE JANEIRO.</t>
        </is>
      </c>
      <c r="E50" s="67" t="inlineStr">
        <is>
          <t>ROSENVERG REIS</t>
        </is>
      </c>
    </row>
    <row r="51" ht="30" customHeight="1" s="79">
      <c r="A51" s="68">
        <f>RIGHT(C51,4)</f>
        <v/>
      </c>
      <c r="B51" s="70">
        <f>LEFT(C51, LEN(C51) - 5)</f>
        <v/>
      </c>
      <c r="C51" s="66" t="inlineStr">
        <is>
          <t>1499/2023</t>
        </is>
      </c>
      <c r="D51" s="67" t="inlineStr">
        <is>
          <t>ALTERA O DECRETO-LEI Nº5, DE 15 DE MARÇO DE 1975, E DÁ OUTRAS PROVIDÊNCIAS.</t>
        </is>
      </c>
      <c r="E51" s="67" t="inlineStr">
        <is>
          <t>ANDERSON MORAES</t>
        </is>
      </c>
    </row>
    <row r="52" ht="60" customHeight="1" s="79">
      <c r="A52" s="68">
        <f>RIGHT(C52,4)</f>
        <v/>
      </c>
      <c r="B52" s="70">
        <f>LEFT(C52, LEN(C52) - 5)</f>
        <v/>
      </c>
      <c r="C52" s="66" t="inlineStr">
        <is>
          <t>1646/2023</t>
        </is>
      </c>
      <c r="D52" s="67" t="inlineStr">
        <is>
          <t>ALTERA A LEI ESTADUAL Nº 3.900 DE 19 DE JULHO DE 2002, QUE "INSTITUI O CÓDIGO ESTADUAL DE PROTEÇÃO AOS ANIMAIS, NO ÂMBITO DO ESTADO DO RIO DE JANEIRO”.</t>
        </is>
      </c>
      <c r="E52" s="67" t="inlineStr">
        <is>
          <t>CARLINHOS BNH</t>
        </is>
      </c>
    </row>
    <row r="53" ht="30" customHeight="1" s="79">
      <c r="A53" s="68">
        <f>RIGHT(C53,4)</f>
        <v/>
      </c>
      <c r="B53" s="70">
        <f>LEFT(C53, LEN(C53) - 5)</f>
        <v/>
      </c>
      <c r="C53" s="66" t="inlineStr">
        <is>
          <t>1758/2023</t>
        </is>
      </c>
      <c r="D53" s="67" t="inlineStr">
        <is>
          <t>ALTERA A REDAÇÃO  DO ART. 48 DA LEI 443/81, PARA DISPOR SOBRE OS DEPENDENTES DO MILITAR:</t>
        </is>
      </c>
      <c r="E53" s="67" t="inlineStr">
        <is>
          <t>MARCELO DINO, Carlinhos Bnh, India Armelau, Rodrigo Amorim</t>
        </is>
      </c>
    </row>
    <row r="54" ht="90" customHeight="1" s="79">
      <c r="A54" s="68">
        <f>RIGHT(C54,4)</f>
        <v/>
      </c>
      <c r="B54" s="70">
        <f>LEFT(C54, LEN(C54) - 5)</f>
        <v/>
      </c>
      <c r="C54" s="66" t="inlineStr">
        <is>
          <t>1787/2023</t>
        </is>
      </c>
      <c r="D54" s="67" t="inlineStr">
        <is>
          <t>DISPÕE SOBRE A IMPLANTAÇÃO DO SISTEMA DE ENERGIA SOLAR FOTOVOLTAICA NOS ESTABELECIMENTOS EM QUE ESTEJAM EM FUNCIONAMENTO OS ÓRGÃOS DA SEGURANÇA PÚBLICA, NO ÂMBITO DO ESTADO DO RIO DE JANEIRO, NA FORMA EM QUE MENCIONA.</t>
        </is>
      </c>
      <c r="E54" s="67" t="inlineStr">
        <is>
          <t>ROSENVERG REIS</t>
        </is>
      </c>
    </row>
    <row r="55" ht="105" customHeight="1" s="79">
      <c r="A55" s="68">
        <f>RIGHT(C55,4)</f>
        <v/>
      </c>
      <c r="B55" s="70">
        <f>LEFT(C55, LEN(C55) - 5)</f>
        <v/>
      </c>
      <c r="C55" s="66" t="inlineStr">
        <is>
          <t>1870/2023</t>
        </is>
      </c>
      <c r="D55" s="67" t="inlineStr">
        <is>
          <t>DISPÕE SOBRE A IMPLANTAÇÃO DO PROGRAMA DE PROTOCOLO DE PRESERVAÇÃO E DE CUIDADO ECOLÓGICO DO RIO GUANDU, ATRAVÉS DA COOPERAÇÃO TÉCNICA DOS ÓRGÃOS DE PROTEÇÃO AMBIENTAL E OS MUNICÍPIOS ABRANGIDOS NO ÂMBITO DO ESTADO DO RIO DE JANEIRO, NA FORMA EM QUE ESPECIFICA.</t>
        </is>
      </c>
      <c r="E55" s="67" t="inlineStr">
        <is>
          <t>ROSENVERG REIS</t>
        </is>
      </c>
    </row>
    <row r="56" ht="45" customHeight="1" s="79">
      <c r="A56" s="68">
        <f>RIGHT(C56,4)</f>
        <v/>
      </c>
      <c r="B56" s="70">
        <f>LEFT(C56, LEN(C56) - 5)</f>
        <v/>
      </c>
      <c r="C56" s="66" t="inlineStr">
        <is>
          <t>1955/2023</t>
        </is>
      </c>
      <c r="D56" s="67" t="inlineStr">
        <is>
          <t>INSTITUI A SEMANA ESTADUAL DE CONSCIENTIZAÇÃO SOBRE AS DOENÇAS TROPICAIS NEGLIGENCIADAS NO ÂMBITO DO ESTADO DO RIO DE JANEIRO.</t>
        </is>
      </c>
      <c r="E56" s="67" t="inlineStr">
        <is>
          <t>ELIKA TAKIMOTO</t>
        </is>
      </c>
    </row>
    <row r="57" ht="60" customHeight="1" s="79">
      <c r="A57" s="68">
        <f>RIGHT(C57,4)</f>
        <v/>
      </c>
      <c r="B57" s="70">
        <f>LEFT(C57, LEN(C57) - 5)</f>
        <v/>
      </c>
      <c r="C57" s="66" t="inlineStr">
        <is>
          <t>2058/2023</t>
        </is>
      </c>
      <c r="D57" s="67" t="inlineStr">
        <is>
          <t>ALTERA A LEI Nº 6.787/2014, QUE DISPÕE SOBRE AS CONDIÇÕES SANITÁRIAS PARA OS BANHEIROS PÚBLICOS INSTALADOS NO ÂMBITO DO ESTADO DO RIO DE JANEIRO.</t>
        </is>
      </c>
      <c r="E57" s="67" t="inlineStr">
        <is>
          <t>RENATO MACHADO</t>
        </is>
      </c>
    </row>
    <row r="58" ht="45" customHeight="1" s="79">
      <c r="A58" s="68">
        <f>RIGHT(C58,4)</f>
        <v/>
      </c>
      <c r="B58" s="70">
        <f>LEFT(C58, LEN(C58) - 5)</f>
        <v/>
      </c>
      <c r="C58" s="66" t="inlineStr">
        <is>
          <t>2162/2023</t>
        </is>
      </c>
      <c r="D58" s="67" t="inlineStr">
        <is>
          <t>CRIA O CENTRO CULTURAL CIÊNCIAS FORENSES DO ESTADO DO RIO DE JANEIRO E DÁ OUTRAS PROVIDÊNCIAS</t>
        </is>
      </c>
      <c r="E58" s="67" t="inlineStr">
        <is>
          <t>CARLOS MINC</t>
        </is>
      </c>
    </row>
    <row r="59" ht="45" customHeight="1" s="79">
      <c r="A59" s="68">
        <f>RIGHT(C59,4)</f>
        <v/>
      </c>
      <c r="B59" s="70">
        <f>LEFT(C59, LEN(C59) - 5)</f>
        <v/>
      </c>
      <c r="C59" s="66" t="inlineStr">
        <is>
          <t>2250/2023</t>
        </is>
      </c>
      <c r="D59" s="67" t="inlineStr">
        <is>
          <t>CRIA CRITÉRIOS PARA GARANTIR A TRANSPARÊNCIA PARA AS POLÍTICAS HABITACIONAIS DE INTERESSE SOCIAL E DÁ OUTRAS PROVIDÊNCIAS.</t>
        </is>
      </c>
      <c r="E59" s="67" t="inlineStr">
        <is>
          <t>CLAUDIO CAIADO</t>
        </is>
      </c>
    </row>
    <row r="60" ht="30" customHeight="1" s="79">
      <c r="A60" s="68">
        <f>RIGHT(C60,4)</f>
        <v/>
      </c>
      <c r="B60" s="70">
        <f>LEFT(C60, LEN(C60) - 5)</f>
        <v/>
      </c>
      <c r="C60" s="66" t="inlineStr">
        <is>
          <t>2362/2023</t>
        </is>
      </c>
      <c r="D60" s="67" t="inlineStr">
        <is>
          <t>ALTERA A LEI ESTADUAL N.º 4.379, DE 20 DE JULHO DE 2004.</t>
        </is>
      </c>
      <c r="E60" s="67" t="inlineStr">
        <is>
          <t>FRED PACHECO</t>
        </is>
      </c>
    </row>
    <row r="61" ht="30" customHeight="1" s="79">
      <c r="A61" s="68">
        <f>RIGHT(C61,4)</f>
        <v/>
      </c>
      <c r="B61" s="70">
        <f>LEFT(C61, LEN(C61) - 5)</f>
        <v/>
      </c>
      <c r="C61" s="66" t="inlineStr">
        <is>
          <t>2553/2023</t>
        </is>
      </c>
      <c r="D61" s="67" t="inlineStr">
        <is>
          <t>CRIA O LIVRO DE HONRA DAS EDUCADORAS E DOS EDUCADORES DO ESTADO DO RIO DE JANEIRO</t>
        </is>
      </c>
      <c r="E61" s="67" t="inlineStr">
        <is>
          <t>ELIKA TAKIMOTO</t>
        </is>
      </c>
    </row>
    <row r="62" ht="45" customHeight="1" s="79">
      <c r="A62" s="68">
        <f>RIGHT(C62,4)</f>
        <v/>
      </c>
      <c r="B62" s="70">
        <f>LEFT(C62, LEN(C62) - 5)</f>
        <v/>
      </c>
      <c r="C62" s="66" t="inlineStr">
        <is>
          <t>2565/2023</t>
        </is>
      </c>
      <c r="D62" s="67" t="inlineStr">
        <is>
          <t>DISPÕE SOBRE A CRIAÇÃO DO “PROGRAMA YOGA E MEDITAÇÃO NAS ESCOLAS” NA REDE ESTADUAL DE EDUCAÇÃO DO ESTADO DO RIO DE JANEIRO.</t>
        </is>
      </c>
      <c r="E62" s="67" t="inlineStr">
        <is>
          <t>ANDREZINHO CECILIANO</t>
        </is>
      </c>
    </row>
    <row r="63" ht="75" customHeight="1" s="79">
      <c r="A63" s="68">
        <f>RIGHT(C63,4)</f>
        <v/>
      </c>
      <c r="B63" s="70">
        <f>LEFT(C63, LEN(C63) - 5)</f>
        <v/>
      </c>
      <c r="C63" s="66" t="inlineStr">
        <is>
          <t>2665/2023</t>
        </is>
      </c>
      <c r="D63" s="67" t="inlineStr">
        <is>
          <t>AUTORIZA O ÓRGÃO AMBIENTAL COMPETENTE A FORMALIZAR, EM REGIME DE MÚTUA COOPERAÇÃO, PARCERIAS COM ENTIDADES DO TERCEIRO SETOR PARA A CONSECUÇÃO DE PREVENÇÃO E COMBATE AO INCÊNDIO FLORESTAL, E DÁ OUTRAS PROVIDÊNCIAS.</t>
        </is>
      </c>
      <c r="E63" s="67" t="inlineStr">
        <is>
          <t>CARLOS MINC</t>
        </is>
      </c>
    </row>
    <row r="64" ht="120" customHeight="1" s="79">
      <c r="A64" s="68">
        <f>RIGHT(C64,4)</f>
        <v/>
      </c>
      <c r="B64" s="70">
        <f>LEFT(C64, LEN(C64) - 5)</f>
        <v/>
      </c>
      <c r="C64" s="66" t="inlineStr">
        <is>
          <t>2782/2023</t>
        </is>
      </c>
      <c r="D64" s="67" t="inlineStr">
        <is>
          <t>REGULAMENTA O DISPOSTO NO INCISO IV DO ARTIGO 7º DA LEI 7989 DE 14 DE JUNHO DE 2018 QUE “DISPÕE SOBRE O SISTEMA DE CONTROLE INTERNO DO PODER EXECUTIVO DO ESTADO DO RIO DE JANEIRO, CRIA A CONTROLADORIA GERAL DO ESTADO DO RIO DE JANEIRO E O FUNDO DE APRIMORAMENTO DE CONTROLE INTERNO, ORGANIZA AS CARREIRAS DE CONTROLE INTERNO, E DÁ OUTRAS PROVIDÊNCIAS”.</t>
        </is>
      </c>
      <c r="E64" s="67" t="inlineStr">
        <is>
          <t>CARLOS MINC</t>
        </is>
      </c>
    </row>
    <row r="65" ht="45" customHeight="1" s="79">
      <c r="A65" s="68">
        <f>RIGHT(C65,4)</f>
        <v/>
      </c>
      <c r="B65" s="70">
        <f>LEFT(C65, LEN(C65) - 5)</f>
        <v/>
      </c>
      <c r="C65" s="66" t="inlineStr">
        <is>
          <t>2823/2023</t>
        </is>
      </c>
      <c r="D65" s="67" t="inlineStr">
        <is>
          <t>INSTITUI O PROGRAMA DE FOMENTO ÀS FEIRAS LITERÁRIAS E FESTIVAIS DE LIVROS DO ESTADO DO RIO DE JANEIRO</t>
        </is>
      </c>
      <c r="E65" s="67" t="inlineStr">
        <is>
          <t>VERONICA LIMA</t>
        </is>
      </c>
    </row>
    <row r="66" ht="75" customHeight="1" s="79">
      <c r="A66" s="68">
        <f>RIGHT(C66,4)</f>
        <v/>
      </c>
      <c r="B66" s="70">
        <f>LEFT(C66, LEN(C66) - 5)</f>
        <v/>
      </c>
      <c r="C66" s="66" t="inlineStr">
        <is>
          <t>2872/2024</t>
        </is>
      </c>
      <c r="D66" s="67" t="inlineStr">
        <is>
          <t>DISPÕE SOBRE A CRIAÇÃO DE UMA PLATAFORMA DE INFORME ESTADUAL PARA REGISTRO DE CASOS DE LEISHMANIOSE, LEPTOSPIROSE E ESPOROTRICOSE EM ANIMAIS ATENDIDOS POR VETERINÁRIOS E TORNA A NOTIFICAÇÃO DESSAS DOENÇAS COMPULSÓRIA.</t>
        </is>
      </c>
      <c r="E66" s="67" t="inlineStr">
        <is>
          <t>MARTHA ROCHA</t>
        </is>
      </c>
    </row>
    <row r="67" ht="45" customHeight="1" s="79">
      <c r="A67" s="68">
        <f>RIGHT(C67,4)</f>
        <v/>
      </c>
      <c r="B67" s="70">
        <f>LEFT(C67, LEN(C67) - 5)</f>
        <v/>
      </c>
      <c r="C67" s="66" t="inlineStr">
        <is>
          <t>2888/2024</t>
        </is>
      </c>
      <c r="D67" s="67" t="inlineStr">
        <is>
          <t>INSTITUI, NO ÂMBITO DO ESTADO DO RIO DE JANEIRO, A CAMPANHA ESTADUAL DE SAÚDE BUCAL DA PESSOA IDOSA.</t>
        </is>
      </c>
      <c r="E67" s="67" t="inlineStr">
        <is>
          <t>MARTHA ROCHA</t>
        </is>
      </c>
    </row>
    <row r="68" ht="75" customHeight="1" s="79">
      <c r="A68" s="68">
        <f>RIGHT(C68,4)</f>
        <v/>
      </c>
      <c r="B68" s="70">
        <f>LEFT(C68, LEN(C68) - 5)</f>
        <v/>
      </c>
      <c r="C68" s="66" t="inlineStr">
        <is>
          <t>3474/2024</t>
        </is>
      </c>
      <c r="D68" s="67" t="inlineStr">
        <is>
          <t>ALTERA-SE A LEI Nº 3350, DE 29 DE DEZEMBRO DE 1999, QUE DISPÕE SOBRE AS CUSTAS JUDICIAIS E EMOLUMENTOS DOS SERVIÇOS NOTARIAIS E DE REGISTROS NO ESTADO DO RIO DE JANEIRO E DÁ OUTRAS PROVIDÊNCIAS.</t>
        </is>
      </c>
      <c r="E68" s="67" t="inlineStr">
        <is>
          <t>CARLA MACHADO</t>
        </is>
      </c>
    </row>
    <row r="69" ht="60" customHeight="1" s="79">
      <c r="A69" s="68">
        <f>RIGHT(C69,4)</f>
        <v/>
      </c>
      <c r="B69" s="70">
        <f>LEFT(C69, LEN(C69) - 5)</f>
        <v/>
      </c>
      <c r="C69" s="66" t="inlineStr">
        <is>
          <t>3572/2024</t>
        </is>
      </c>
      <c r="D69" s="67" t="inlineStr">
        <is>
          <t>DISPÕE SOBRE A PROMOÇÃO DA ACESSIBILIDADE NO ECOTURISMO PARA PESSOAS COM DEFICIÊNCIA OU MOBILIDADE REDUZIDA NO ESTADO DO RIO DE JANEIRO.</t>
        </is>
      </c>
      <c r="E69" s="67" t="inlineStr">
        <is>
          <t>CARLA MACHADO</t>
        </is>
      </c>
    </row>
    <row r="70" ht="60" customHeight="1" s="79">
      <c r="A70" s="68">
        <f>RIGHT(C70,4)</f>
        <v/>
      </c>
      <c r="B70" s="70">
        <f>LEFT(C70, LEN(C70) - 5)</f>
        <v/>
      </c>
      <c r="C70" s="66" t="inlineStr">
        <is>
          <t>3706/2024</t>
        </is>
      </c>
      <c r="D70" s="67" t="inlineStr">
        <is>
          <t>ESTABELECE NORMAS SOBRE A PATICIPAÇÃO DE SERVIÇOS DE TRANSPORTE INTERMUNICIPAL CONCEDIDOS EM CAMPANHAS EDUCATIVAS ESTADUAIS.</t>
        </is>
      </c>
      <c r="E70" s="67" t="inlineStr">
        <is>
          <t>BRAZAO</t>
        </is>
      </c>
    </row>
    <row r="71" ht="60" customHeight="1" s="79">
      <c r="A71" s="68">
        <f>RIGHT(C71,4)</f>
        <v/>
      </c>
      <c r="B71" s="70">
        <f>LEFT(C71, LEN(C71) - 5)</f>
        <v/>
      </c>
      <c r="C71" s="66" t="inlineStr">
        <is>
          <t>4111/2024</t>
        </is>
      </c>
      <c r="D71" s="67" t="inlineStr">
        <is>
          <t>DISPÕE SOBRE A CRIAÇÃO DO PROGRAMA DE HORTAS COMUNITÁRIAS EM INSTITUIÇÕES DE LONGA PERMANÊNCIA PARA IDOSOS (ILPIS), NO ÂMBITO DO ESTADO DO RIO DE JANEIRO.</t>
        </is>
      </c>
      <c r="E71" s="67" t="inlineStr">
        <is>
          <t>CARLA MACHADO</t>
        </is>
      </c>
    </row>
    <row r="72" ht="60" customHeight="1" s="79">
      <c r="A72" s="68">
        <f>RIGHT(C72,4)</f>
        <v/>
      </c>
      <c r="B72" s="70">
        <f>LEFT(C72, LEN(C72) - 5)</f>
        <v/>
      </c>
      <c r="C72" s="66" t="inlineStr">
        <is>
          <t>4184/2024</t>
        </is>
      </c>
      <c r="D72" s="67" t="inlineStr">
        <is>
          <t>ALTERA A LEI Nº 3.613, DE 18 DE JULHO DE 2001, QUE “DISPÕE SOBRE OS DIREITOS DOS USUÁRIOS DOS SERVIÇOS E DAS AÇÕES DE SAÚDE NO ESTADO DO RIO DE JANEIRO E DÁ OUTRAS PROVIDÊNCIAS.”</t>
        </is>
      </c>
      <c r="E72" s="67" t="inlineStr">
        <is>
          <t>THIAGO GAGLIASSO</t>
        </is>
      </c>
    </row>
    <row r="73" ht="90" customHeight="1" s="79">
      <c r="A73" s="68">
        <f>RIGHT(C73,4)</f>
        <v/>
      </c>
      <c r="B73" s="70">
        <f>LEFT(C73, LEN(C73) - 5)</f>
        <v/>
      </c>
      <c r="C73" s="67" t="inlineStr">
        <is>
          <t>4368/2024</t>
        </is>
      </c>
      <c r="D73" s="67" t="inlineStr">
        <is>
          <t>ALTERA A LEI Nº 10.368/2024, QUE INSTITUI A “LEI MORENO MOURA”, QUE PROÍBE A CONTRATAÇÃO DE MÉDICO GENERALISTA E DE RESIDENTE MÉDICO, COMO MÉDICO ESPECIALISTA, EM UNIDADES DE SAÚDE E HOSPITAIS PÚBLICOS NO ESTADO DO RIO DE JANEIRO.</t>
        </is>
      </c>
      <c r="E73" s="67" t="inlineStr">
        <is>
          <t>RODRIGO AMORIM</t>
        </is>
      </c>
    </row>
    <row r="74" ht="60" customHeight="1" s="79">
      <c r="A74" s="68">
        <f>RIGHT(C74,4)</f>
        <v/>
      </c>
      <c r="B74" s="70">
        <f>LEFT(C74, LEN(C74) - 5)</f>
        <v/>
      </c>
      <c r="C74" s="66" t="inlineStr">
        <is>
          <t>4454/2024</t>
        </is>
      </c>
      <c r="D74" s="67" t="inlineStr">
        <is>
          <t>ALTERA A LEI Nº 8304 DE 28 DE FEVEREIRO DE 2019, QUE DISPÕE SOBRE A CRIAÇÃO DE PROGRAMAS DE INCENTIVO À PRÁTICA DE ATIVIDADES FÍSICAS NO ÂMBITO DO  ESTADO DO RIO DE JANEIRO.</t>
        </is>
      </c>
      <c r="E74" s="67" t="inlineStr">
        <is>
          <t>INDIA ARMELAU</t>
        </is>
      </c>
    </row>
    <row r="75" ht="60" customHeight="1" s="79">
      <c r="A75" s="68">
        <f>RIGHT(C75,4)</f>
        <v/>
      </c>
      <c r="B75" s="70">
        <f>LEFT(C75, LEN(C75) - 5)</f>
        <v/>
      </c>
      <c r="C75" s="66" t="inlineStr">
        <is>
          <t>4511/2024</t>
        </is>
      </c>
      <c r="D75" s="67" t="inlineStr">
        <is>
          <t>ALTERA A LEI Nº 5.588/2009 PARA INCLUIR OS POLICIAIS PENAIS DO ESTADO DO RIO DE JANEIRO NO ROL DE AGENTES DE SEGURANÇA DE QUE TRATA A REFERIDA LEI.</t>
        </is>
      </c>
      <c r="E75" s="67" t="inlineStr">
        <is>
          <t>CARLOS MINC</t>
        </is>
      </c>
    </row>
    <row r="76" ht="75" customHeight="1" s="79">
      <c r="A76" s="68">
        <f>RIGHT(C76,4)</f>
        <v/>
      </c>
      <c r="B76" s="70">
        <f>LEFT(C76, LEN(C76) - 5)</f>
        <v/>
      </c>
      <c r="C76" s="66" t="inlineStr">
        <is>
          <t>4754/2025</t>
        </is>
      </c>
      <c r="D76" s="67" t="inlineStr">
        <is>
          <t>AUTORIZA O PODER EXECUTIVO DO ESTADO DO RIO DE JANEIRO A OFERTAR CONSULTORIA TÉCNICA, ATRAVÉS DA SECRETARIA DE ESTADO DE FAZENDA-SEFAZ/RJ E DA PROCURADORIA GERAL DO ESTADO-PGE AOS MUNICÍPIOS FLUMINENSES</t>
        </is>
      </c>
      <c r="E76" s="67" t="inlineStr">
        <is>
          <t>LUIZ PAULO</t>
        </is>
      </c>
    </row>
    <row r="77" ht="60" customHeight="1" s="79">
      <c r="A77" s="68">
        <f>RIGHT(C77,4)</f>
        <v/>
      </c>
      <c r="B77" s="70">
        <f>LEFT(C77, LEN(C77) - 5)</f>
        <v/>
      </c>
      <c r="C77" s="66" t="inlineStr">
        <is>
          <t>4910/2025</t>
        </is>
      </c>
      <c r="D77" s="67" t="inlineStr">
        <is>
          <t>DISPÕE NO ÂMBITO DO ESTADO DO RIO DE JANEIRO SOBRE A UTILIZAÇÃO DA PASSARELA PROFESSOR DARCY RIBEIRO  - SAMBÓDROMO  E DÁ OUTRAS PROVIDÊNCIAS</t>
        </is>
      </c>
      <c r="E77" s="67" t="inlineStr">
        <is>
          <t>DIONISIO LINS</t>
        </is>
      </c>
    </row>
    <row r="78" ht="60" customHeight="1" s="79">
      <c r="A78" s="68">
        <f>RIGHT(C78,4)</f>
        <v/>
      </c>
      <c r="B78" s="70">
        <f>LEFT(C78, LEN(C78) - 5)</f>
        <v/>
      </c>
      <c r="C78" s="66" t="inlineStr">
        <is>
          <t>4975/2025</t>
        </is>
      </c>
      <c r="D78" s="67" t="inlineStr">
        <is>
          <t>DISPÕE SOBRE A DISTRIBUIÇÃO GRATUITA DE SUPLEMENTOS VITAMÍNICOS E MINERAIS PARA PACIENTES BARIÁTRICOS NO ESTADO DO RIO DE JANEIRO.</t>
        </is>
      </c>
      <c r="E78" s="67" t="inlineStr">
        <is>
          <t>GISELLE MONTEIRO</t>
        </is>
      </c>
    </row>
    <row r="79" ht="45" customHeight="1" s="79">
      <c r="A79" s="68">
        <f>RIGHT(C79,4)</f>
        <v/>
      </c>
      <c r="B79" s="70">
        <f>LEFT(C79, LEN(C79) - 5)</f>
        <v/>
      </c>
      <c r="C79" s="66" t="inlineStr">
        <is>
          <t>5326/2025</t>
        </is>
      </c>
      <c r="D79" s="67" t="inlineStr">
        <is>
          <t>INSTITUI NO ÂMBITO DO ESTADO DO RIO DE JANEIRO, O “PROGRAMA CIDADE AMIGA DO IDOSO” E ADOTA OUTRAS PROVIDÊNCIAS.</t>
        </is>
      </c>
      <c r="E79" s="67" t="inlineStr">
        <is>
          <t>VALDECY DA SAUDE</t>
        </is>
      </c>
    </row>
    <row r="80" ht="30" customHeight="1" s="79">
      <c r="A80" s="68">
        <f>RIGHT(C80,4)</f>
        <v/>
      </c>
      <c r="B80" s="70">
        <f>LEFT(C80, LEN(C80) - 5)</f>
        <v/>
      </c>
      <c r="C80" s="66" t="inlineStr">
        <is>
          <t>6375/2025</t>
        </is>
      </c>
      <c r="D80" s="67" t="inlineStr">
        <is>
          <t>ALTERA A LEI Nº 10.900, DE 21 DE JULHO DE 2025, NA FORMA QUE MENCIONA.</t>
        </is>
      </c>
      <c r="E80" s="67" t="inlineStr">
        <is>
          <t>ALAN LOPES,FILIPPE POUBEL</t>
        </is>
      </c>
    </row>
  </sheetData>
  <mergeCells count="1">
    <mergeCell ref="C1:E1"/>
  </mergeCells>
  <hyperlinks>
    <hyperlink xmlns:r="http://schemas.openxmlformats.org/officeDocument/2006/relationships" ref="C3" r:id="rId1"/>
    <hyperlink xmlns:r="http://schemas.openxmlformats.org/officeDocument/2006/relationships" ref="C4" r:id="rId2"/>
    <hyperlink xmlns:r="http://schemas.openxmlformats.org/officeDocument/2006/relationships" ref="C5" r:id="rId3"/>
    <hyperlink xmlns:r="http://schemas.openxmlformats.org/officeDocument/2006/relationships" ref="C6" r:id="rId4"/>
    <hyperlink xmlns:r="http://schemas.openxmlformats.org/officeDocument/2006/relationships" ref="C7" r:id="rId5"/>
    <hyperlink xmlns:r="http://schemas.openxmlformats.org/officeDocument/2006/relationships" ref="C8" r:id="rId6"/>
    <hyperlink xmlns:r="http://schemas.openxmlformats.org/officeDocument/2006/relationships" ref="C9" r:id="rId7"/>
    <hyperlink xmlns:r="http://schemas.openxmlformats.org/officeDocument/2006/relationships" ref="C10" r:id="rId8"/>
    <hyperlink xmlns:r="http://schemas.openxmlformats.org/officeDocument/2006/relationships" ref="C11" r:id="rId9"/>
    <hyperlink xmlns:r="http://schemas.openxmlformats.org/officeDocument/2006/relationships" ref="C12" r:id="rId10"/>
    <hyperlink xmlns:r="http://schemas.openxmlformats.org/officeDocument/2006/relationships" ref="C13" r:id="rId11"/>
    <hyperlink xmlns:r="http://schemas.openxmlformats.org/officeDocument/2006/relationships" ref="C14" r:id="rId12"/>
    <hyperlink xmlns:r="http://schemas.openxmlformats.org/officeDocument/2006/relationships" ref="C15" r:id="rId13"/>
    <hyperlink xmlns:r="http://schemas.openxmlformats.org/officeDocument/2006/relationships" ref="C16" r:id="rId14"/>
    <hyperlink xmlns:r="http://schemas.openxmlformats.org/officeDocument/2006/relationships" ref="C17" r:id="rId15"/>
    <hyperlink xmlns:r="http://schemas.openxmlformats.org/officeDocument/2006/relationships" ref="C18" r:id="rId16"/>
    <hyperlink xmlns:r="http://schemas.openxmlformats.org/officeDocument/2006/relationships" ref="C19" r:id="rId17"/>
    <hyperlink xmlns:r="http://schemas.openxmlformats.org/officeDocument/2006/relationships" ref="C20" r:id="rId18"/>
    <hyperlink xmlns:r="http://schemas.openxmlformats.org/officeDocument/2006/relationships" ref="C21" r:id="rId19"/>
    <hyperlink xmlns:r="http://schemas.openxmlformats.org/officeDocument/2006/relationships" ref="C22" r:id="rId20"/>
    <hyperlink xmlns:r="http://schemas.openxmlformats.org/officeDocument/2006/relationships" ref="C23" r:id="rId21"/>
    <hyperlink xmlns:r="http://schemas.openxmlformats.org/officeDocument/2006/relationships" ref="C24" r:id="rId22"/>
    <hyperlink xmlns:r="http://schemas.openxmlformats.org/officeDocument/2006/relationships" ref="C25" r:id="rId23"/>
    <hyperlink xmlns:r="http://schemas.openxmlformats.org/officeDocument/2006/relationships" ref="C26" r:id="rId24"/>
    <hyperlink xmlns:r="http://schemas.openxmlformats.org/officeDocument/2006/relationships" ref="C27" r:id="rId25"/>
    <hyperlink xmlns:r="http://schemas.openxmlformats.org/officeDocument/2006/relationships" ref="C28" r:id="rId26"/>
    <hyperlink xmlns:r="http://schemas.openxmlformats.org/officeDocument/2006/relationships" ref="C29" r:id="rId27"/>
    <hyperlink xmlns:r="http://schemas.openxmlformats.org/officeDocument/2006/relationships" ref="C30" r:id="rId28"/>
    <hyperlink xmlns:r="http://schemas.openxmlformats.org/officeDocument/2006/relationships" ref="C31" r:id="rId29"/>
    <hyperlink xmlns:r="http://schemas.openxmlformats.org/officeDocument/2006/relationships" ref="C32" r:id="rId30"/>
    <hyperlink xmlns:r="http://schemas.openxmlformats.org/officeDocument/2006/relationships" ref="C33" r:id="rId31"/>
    <hyperlink xmlns:r="http://schemas.openxmlformats.org/officeDocument/2006/relationships" ref="C34" r:id="rId32"/>
    <hyperlink xmlns:r="http://schemas.openxmlformats.org/officeDocument/2006/relationships" ref="C35" r:id="rId33"/>
    <hyperlink xmlns:r="http://schemas.openxmlformats.org/officeDocument/2006/relationships" ref="C36" r:id="rId34"/>
    <hyperlink xmlns:r="http://schemas.openxmlformats.org/officeDocument/2006/relationships" ref="C37" r:id="rId35"/>
    <hyperlink xmlns:r="http://schemas.openxmlformats.org/officeDocument/2006/relationships" ref="C38" r:id="rId36"/>
    <hyperlink xmlns:r="http://schemas.openxmlformats.org/officeDocument/2006/relationships" ref="C39" r:id="rId37"/>
    <hyperlink xmlns:r="http://schemas.openxmlformats.org/officeDocument/2006/relationships" ref="C40" r:id="rId38"/>
    <hyperlink xmlns:r="http://schemas.openxmlformats.org/officeDocument/2006/relationships" ref="C41" r:id="rId39"/>
    <hyperlink xmlns:r="http://schemas.openxmlformats.org/officeDocument/2006/relationships" ref="C42" r:id="rId40"/>
    <hyperlink xmlns:r="http://schemas.openxmlformats.org/officeDocument/2006/relationships" ref="C43" r:id="rId41"/>
    <hyperlink xmlns:r="http://schemas.openxmlformats.org/officeDocument/2006/relationships" ref="C44" r:id="rId42"/>
    <hyperlink xmlns:r="http://schemas.openxmlformats.org/officeDocument/2006/relationships" ref="C45" r:id="rId43"/>
    <hyperlink xmlns:r="http://schemas.openxmlformats.org/officeDocument/2006/relationships" ref="C46" r:id="rId44"/>
    <hyperlink xmlns:r="http://schemas.openxmlformats.org/officeDocument/2006/relationships" ref="C47" r:id="rId45"/>
    <hyperlink xmlns:r="http://schemas.openxmlformats.org/officeDocument/2006/relationships" ref="C48" r:id="rId46"/>
    <hyperlink xmlns:r="http://schemas.openxmlformats.org/officeDocument/2006/relationships" ref="C49" r:id="rId47"/>
    <hyperlink xmlns:r="http://schemas.openxmlformats.org/officeDocument/2006/relationships" ref="C50" r:id="rId48"/>
    <hyperlink xmlns:r="http://schemas.openxmlformats.org/officeDocument/2006/relationships" ref="C51" r:id="rId49"/>
    <hyperlink xmlns:r="http://schemas.openxmlformats.org/officeDocument/2006/relationships" ref="C52" r:id="rId50"/>
    <hyperlink xmlns:r="http://schemas.openxmlformats.org/officeDocument/2006/relationships" ref="C53" r:id="rId51"/>
    <hyperlink xmlns:r="http://schemas.openxmlformats.org/officeDocument/2006/relationships" ref="C54" r:id="rId52"/>
    <hyperlink xmlns:r="http://schemas.openxmlformats.org/officeDocument/2006/relationships" ref="C55" r:id="rId53"/>
    <hyperlink xmlns:r="http://schemas.openxmlformats.org/officeDocument/2006/relationships" ref="C56" r:id="rId54"/>
    <hyperlink xmlns:r="http://schemas.openxmlformats.org/officeDocument/2006/relationships" ref="C57" r:id="rId55"/>
    <hyperlink xmlns:r="http://schemas.openxmlformats.org/officeDocument/2006/relationships" ref="C58" r:id="rId56"/>
    <hyperlink xmlns:r="http://schemas.openxmlformats.org/officeDocument/2006/relationships" ref="C59" r:id="rId57"/>
    <hyperlink xmlns:r="http://schemas.openxmlformats.org/officeDocument/2006/relationships" ref="C60" r:id="rId58"/>
    <hyperlink xmlns:r="http://schemas.openxmlformats.org/officeDocument/2006/relationships" ref="C61" r:id="rId59"/>
    <hyperlink xmlns:r="http://schemas.openxmlformats.org/officeDocument/2006/relationships" ref="C62" r:id="rId60"/>
    <hyperlink xmlns:r="http://schemas.openxmlformats.org/officeDocument/2006/relationships" ref="C63" r:id="rId61"/>
    <hyperlink xmlns:r="http://schemas.openxmlformats.org/officeDocument/2006/relationships" ref="C64" r:id="rId62"/>
    <hyperlink xmlns:r="http://schemas.openxmlformats.org/officeDocument/2006/relationships" ref="C65" r:id="rId63"/>
    <hyperlink xmlns:r="http://schemas.openxmlformats.org/officeDocument/2006/relationships" ref="C66" r:id="rId64"/>
    <hyperlink xmlns:r="http://schemas.openxmlformats.org/officeDocument/2006/relationships" ref="C67" r:id="rId65"/>
    <hyperlink xmlns:r="http://schemas.openxmlformats.org/officeDocument/2006/relationships" ref="C68" r:id="rId66"/>
    <hyperlink xmlns:r="http://schemas.openxmlformats.org/officeDocument/2006/relationships" ref="C69" r:id="rId67"/>
    <hyperlink xmlns:r="http://schemas.openxmlformats.org/officeDocument/2006/relationships" ref="C70" r:id="rId68"/>
    <hyperlink xmlns:r="http://schemas.openxmlformats.org/officeDocument/2006/relationships" ref="C71" r:id="rId69"/>
    <hyperlink xmlns:r="http://schemas.openxmlformats.org/officeDocument/2006/relationships" ref="C72" r:id="rId70"/>
    <hyperlink xmlns:r="http://schemas.openxmlformats.org/officeDocument/2006/relationships" ref="C73" r:id="rId71"/>
    <hyperlink xmlns:r="http://schemas.openxmlformats.org/officeDocument/2006/relationships" ref="C74" r:id="rId72"/>
    <hyperlink xmlns:r="http://schemas.openxmlformats.org/officeDocument/2006/relationships" ref="C75" r:id="rId73"/>
    <hyperlink xmlns:r="http://schemas.openxmlformats.org/officeDocument/2006/relationships" ref="C76" r:id="rId74"/>
    <hyperlink xmlns:r="http://schemas.openxmlformats.org/officeDocument/2006/relationships" ref="C77" r:id="rId75"/>
    <hyperlink xmlns:r="http://schemas.openxmlformats.org/officeDocument/2006/relationships" ref="C78" r:id="rId76"/>
    <hyperlink xmlns:r="http://schemas.openxmlformats.org/officeDocument/2006/relationships" ref="C79" r:id="rId77"/>
    <hyperlink xmlns:r="http://schemas.openxmlformats.org/officeDocument/2006/relationships" ref="C80" r:id="rId78"/>
  </hyperlinks>
  <pageMargins left="0.25" right="0.25" top="0.75" bottom="0.75" header="0.3" footer="0.3"/>
  <pageSetup orientation="portrait" paperSize="9" scale="77" fitToHeight="0"/>
</worksheet>
</file>

<file path=xl/worksheets/sheet5.xml><?xml version="1.0" encoding="utf-8"?>
<worksheet xmlns="http://schemas.openxmlformats.org/spreadsheetml/2006/main">
  <sheetPr codeName="Planilha2">
    <tabColor rgb="FFFF0000"/>
    <outlinePr summaryBelow="1" summaryRight="1"/>
    <pageSetUpPr fitToPage="1"/>
  </sheetPr>
  <dimension ref="A1:I235"/>
  <sheetViews>
    <sheetView zoomScale="110" zoomScaleNormal="110" workbookViewId="0">
      <pane ySplit="1" topLeftCell="A51" activePane="bottomLeft" state="frozen"/>
      <selection pane="bottomLeft" activeCell="D63" sqref="D63"/>
    </sheetView>
  </sheetViews>
  <sheetFormatPr baseColWidth="8" defaultRowHeight="15"/>
  <cols>
    <col width="15.85546875" customWidth="1" style="5" min="1" max="1"/>
    <col width="6.7109375" customWidth="1" style="6" min="2" max="2"/>
    <col width="15" bestFit="1" customWidth="1" style="5" min="3" max="3"/>
    <col width="50" customWidth="1" style="5" min="4" max="4"/>
    <col width="29.28515625" customWidth="1" style="5" min="5" max="5"/>
    <col width="15.5703125" customWidth="1" style="6" min="6" max="6"/>
    <col width="16.5703125" customWidth="1" style="6" min="7" max="7"/>
    <col width="16.5703125" bestFit="1" customWidth="1" style="16" min="8" max="8"/>
    <col width="35.7109375" customWidth="1" style="5" min="9" max="9"/>
    <col width="9.140625" customWidth="1" style="1" min="10" max="16384"/>
  </cols>
  <sheetData>
    <row r="1" ht="42.75" customHeight="1" s="79">
      <c r="A1" s="27" t="inlineStr">
        <is>
          <t>TIPO</t>
        </is>
      </c>
      <c r="B1" s="28" t="inlineStr">
        <is>
          <t>ORD</t>
        </is>
      </c>
      <c r="C1" s="27" t="inlineStr">
        <is>
          <t>Nº PL</t>
        </is>
      </c>
      <c r="D1" s="27" t="inlineStr">
        <is>
          <t>EMENTA</t>
        </is>
      </c>
      <c r="E1" s="27" t="inlineStr">
        <is>
          <t>AUTOR</t>
        </is>
      </c>
      <c r="F1" s="52" t="inlineStr">
        <is>
          <t>DATA
ENTRADA</t>
        </is>
      </c>
      <c r="G1" s="52" t="inlineStr">
        <is>
          <t>DATA SAÍDA
DA COMISS</t>
        </is>
      </c>
      <c r="H1" s="41" t="inlineStr">
        <is>
          <t>NA COMISSÃO</t>
        </is>
      </c>
      <c r="I1" s="29" t="inlineStr">
        <is>
          <t>OBSERVAÇÕES</t>
        </is>
      </c>
    </row>
    <row r="2">
      <c r="A2" s="2" t="inlineStr">
        <is>
          <t>Processo</t>
        </is>
      </c>
      <c r="B2" s="4">
        <f>RIGHT(C2,4)</f>
        <v/>
      </c>
      <c r="C2" s="2" t="inlineStr">
        <is>
          <t>9576/2025</t>
        </is>
      </c>
      <c r="D2" s="2" t="inlineStr">
        <is>
          <t>TAC entre a SEHI e a CEF</t>
        </is>
      </c>
      <c r="E2" s="2" t="inlineStr">
        <is>
          <t>CEF</t>
        </is>
      </c>
      <c r="F2" s="9" t="n">
        <v>45820</v>
      </c>
      <c r="G2" s="9" t="n">
        <v>46093</v>
      </c>
      <c r="H2" s="4" t="inlineStr">
        <is>
          <t>Não</t>
        </is>
      </c>
      <c r="I2" s="13" t="inlineStr">
        <is>
          <t>Deixei no Gab. Do presidente</t>
        </is>
      </c>
    </row>
    <row r="3" ht="30" customHeight="1" s="79">
      <c r="A3" s="2" t="inlineStr">
        <is>
          <t>Processo</t>
        </is>
      </c>
      <c r="B3" s="4">
        <f>RIGHT(C3,4)</f>
        <v/>
      </c>
      <c r="C3" s="2" t="inlineStr">
        <is>
          <t>8877/2025</t>
        </is>
      </c>
      <c r="D3" s="2" t="inlineStr">
        <is>
          <t>TAC entre o Estado e a CEF</t>
        </is>
      </c>
      <c r="E3" s="2" t="inlineStr">
        <is>
          <t>GERENCIA EXECUTIVA DE GOV. - CEF</t>
        </is>
      </c>
      <c r="F3" s="9" t="n">
        <v>45820</v>
      </c>
      <c r="G3" s="9" t="n">
        <v>46093</v>
      </c>
      <c r="H3" s="4" t="inlineStr">
        <is>
          <t>Não</t>
        </is>
      </c>
      <c r="I3" s="13" t="inlineStr">
        <is>
          <t>Deixei no Gab. Do presidente</t>
        </is>
      </c>
    </row>
    <row r="4" ht="45" customHeight="1" s="79">
      <c r="A4" s="2" t="inlineStr">
        <is>
          <t>Processo</t>
        </is>
      </c>
      <c r="B4" s="4">
        <f>RIGHT(C4,4)</f>
        <v/>
      </c>
      <c r="C4" s="2" t="inlineStr">
        <is>
          <t>9371/2025</t>
        </is>
      </c>
      <c r="D4" s="2" t="inlineStr">
        <is>
          <t>18º TERMO ADITIVO AO CONVENIO 1/2013 - OPERACIONALIZAAO DO BILHETE ÚNICO INTERMUNICIPAL</t>
        </is>
      </c>
      <c r="E4" s="2" t="inlineStr">
        <is>
          <t>SUBSECRETARIA DE ESTADO DE TRANSP. E MOBILIDADE</t>
        </is>
      </c>
      <c r="F4" s="9" t="n">
        <v>45820</v>
      </c>
      <c r="G4" s="9" t="n">
        <v>46093</v>
      </c>
      <c r="H4" s="4" t="inlineStr">
        <is>
          <t>Não</t>
        </is>
      </c>
      <c r="I4" s="13" t="inlineStr">
        <is>
          <t>Deixei no Gab. Do presidente</t>
        </is>
      </c>
    </row>
    <row r="5">
      <c r="A5" s="2" t="inlineStr">
        <is>
          <t>Processo</t>
        </is>
      </c>
      <c r="B5" s="4">
        <f>RIGHT(C5,4)</f>
        <v/>
      </c>
      <c r="C5" s="2" t="inlineStr">
        <is>
          <t>9574/2025</t>
        </is>
      </c>
      <c r="D5" s="2" t="inlineStr">
        <is>
          <t>TAC entre o Estado e a CEF</t>
        </is>
      </c>
      <c r="E5" s="2" t="inlineStr">
        <is>
          <t>CEF</t>
        </is>
      </c>
      <c r="F5" s="9" t="n">
        <v>45820</v>
      </c>
      <c r="G5" s="9" t="n">
        <v>46093</v>
      </c>
      <c r="H5" s="4" t="inlineStr">
        <is>
          <t>Não</t>
        </is>
      </c>
      <c r="I5" s="13" t="inlineStr">
        <is>
          <t>Deixei no Gab. Do presidente</t>
        </is>
      </c>
    </row>
    <row r="6" ht="30" customHeight="1" s="79">
      <c r="A6" s="2" t="inlineStr">
        <is>
          <t>Processo</t>
        </is>
      </c>
      <c r="B6" s="4">
        <f>RIGHT(C6,4)</f>
        <v/>
      </c>
      <c r="C6" s="2" t="inlineStr">
        <is>
          <t>10445/2025</t>
        </is>
      </c>
      <c r="D6" s="2" t="inlineStr">
        <is>
          <t>Parecer Prévio do TCE sobre as contas do Governador no exercício 2024</t>
        </is>
      </c>
      <c r="E6" s="2" t="inlineStr">
        <is>
          <t>TRIBUNAL DE CONTAS DO ESTADO - TCE</t>
        </is>
      </c>
      <c r="F6" s="4" t="n"/>
      <c r="G6" s="9" t="n">
        <v>45866</v>
      </c>
      <c r="H6" s="4" t="inlineStr">
        <is>
          <t>Não</t>
        </is>
      </c>
      <c r="I6" s="13" t="inlineStr">
        <is>
          <t>Levado para a SGMD em 28/07/2025</t>
        </is>
      </c>
    </row>
    <row r="7" ht="30" customHeight="1" s="79">
      <c r="A7" s="2" t="inlineStr">
        <is>
          <t>Processo</t>
        </is>
      </c>
      <c r="B7" s="4">
        <f>RIGHT(C7,4)</f>
        <v/>
      </c>
      <c r="C7" s="2" t="inlineStr">
        <is>
          <t>11536/2025</t>
        </is>
      </c>
      <c r="D7" s="2" t="inlineStr">
        <is>
          <t>PROCESSO Nº 0855470-04,2025,8,19,0001 - AUTOR VALÉRIA HECARI</t>
        </is>
      </c>
      <c r="E7" s="2" t="inlineStr">
        <is>
          <t>PROCURADORIA GERAL DO ESTADO - PGR</t>
        </is>
      </c>
      <c r="F7" s="9" t="n">
        <v>45880</v>
      </c>
      <c r="G7" s="9" t="n">
        <v>45883</v>
      </c>
      <c r="H7" s="4" t="inlineStr">
        <is>
          <t>Não</t>
        </is>
      </c>
      <c r="I7" s="13" t="n"/>
    </row>
    <row r="8" ht="30" customHeight="1" s="79">
      <c r="A8" s="2" t="inlineStr">
        <is>
          <t>Processo</t>
        </is>
      </c>
      <c r="B8" s="4">
        <f>RIGHT(C8,4)</f>
        <v/>
      </c>
      <c r="C8" s="2" t="inlineStr">
        <is>
          <t>7650/2025</t>
        </is>
      </c>
      <c r="D8" s="2" t="inlineStr">
        <is>
          <t>PRESTAÇÃO DE CONTAS DO TCE</t>
        </is>
      </c>
      <c r="E8" s="2" t="inlineStr">
        <is>
          <t>TRIBUNAL DE CONTAS DO ESTADO - TCE</t>
        </is>
      </c>
      <c r="F8" s="9" t="n">
        <v>45882</v>
      </c>
      <c r="G8" s="4" t="n"/>
      <c r="H8" s="4" t="inlineStr">
        <is>
          <t>Sim</t>
        </is>
      </c>
      <c r="I8" s="51" t="inlineStr">
        <is>
          <t>Tinha essa data no campo: 16/12/2025</t>
        </is>
      </c>
    </row>
    <row r="9" ht="30" customHeight="1" s="79">
      <c r="A9" s="2" t="inlineStr">
        <is>
          <t>Processo</t>
        </is>
      </c>
      <c r="B9" s="4">
        <f>RIGHT(C9,4)</f>
        <v/>
      </c>
      <c r="C9" s="2" t="inlineStr">
        <is>
          <t>7651/2025</t>
        </is>
      </c>
      <c r="D9" s="2" t="inlineStr">
        <is>
          <t>PRESTAÇÃO DE CONTAS FUNDO DO TCE</t>
        </is>
      </c>
      <c r="E9" s="2" t="inlineStr">
        <is>
          <t>TRIBUNAL DE CONTAS DO ESTADO - TCE</t>
        </is>
      </c>
      <c r="F9" s="9" t="n">
        <v>45882</v>
      </c>
      <c r="G9" s="4" t="n"/>
      <c r="H9" s="4" t="inlineStr">
        <is>
          <t>Sim</t>
        </is>
      </c>
      <c r="I9" s="13" t="n"/>
    </row>
    <row r="10">
      <c r="A10" s="2" t="inlineStr">
        <is>
          <t>Processo</t>
        </is>
      </c>
      <c r="B10" s="4">
        <f>RIGHT(C10,4)</f>
        <v/>
      </c>
      <c r="C10" s="2" t="inlineStr">
        <is>
          <t>12311/2025</t>
        </is>
      </c>
      <c r="D10" s="2" t="inlineStr">
        <is>
          <t>TCE</t>
        </is>
      </c>
      <c r="E10" s="2" t="inlineStr">
        <is>
          <t>TCE</t>
        </is>
      </c>
      <c r="F10" s="9" t="n"/>
      <c r="G10" s="9" t="n">
        <v>45883</v>
      </c>
      <c r="H10" s="4" t="n"/>
      <c r="I10" s="13" t="n"/>
    </row>
    <row r="11" ht="45" customHeight="1" s="79">
      <c r="A11" s="2" t="inlineStr">
        <is>
          <t>Processo</t>
        </is>
      </c>
      <c r="B11" s="4">
        <f>RIGHT(C11,4)</f>
        <v/>
      </c>
      <c r="C11" s="2" t="inlineStr">
        <is>
          <t>13338/2025</t>
        </is>
      </c>
      <c r="D11" s="2" t="inlineStr">
        <is>
          <t>ENCAMINHA DECLARAÇÕES DE SUSTENTABILIDADE E MANUTENÇÃO FORMALIZADAS PELO ESTADO DO RJ - Nº PROGRAMA 2629820230004</t>
        </is>
      </c>
      <c r="E11" s="2" t="inlineStr">
        <is>
          <t>SEEDUC - GOV. ESTADO RJ</t>
        </is>
      </c>
      <c r="F11" s="9" t="n">
        <v>45924</v>
      </c>
      <c r="G11" s="9" t="n">
        <v>46093</v>
      </c>
      <c r="H11" s="4" t="inlineStr">
        <is>
          <t>Não</t>
        </is>
      </c>
      <c r="I11" s="13" t="n"/>
    </row>
    <row r="12" ht="45" customHeight="1" s="79">
      <c r="A12" s="2" t="inlineStr">
        <is>
          <t>Processo</t>
        </is>
      </c>
      <c r="B12" s="4">
        <f>RIGHT(C12,4)</f>
        <v/>
      </c>
      <c r="C12" s="2" t="inlineStr">
        <is>
          <t>12601/2025</t>
        </is>
      </c>
      <c r="D12" s="2" t="inlineStr">
        <is>
          <t>TERMOS DE COMPROMISSO - MIN. DAS CIDADES</t>
        </is>
      </c>
      <c r="E12" s="2" t="inlineStr">
        <is>
          <t>SEC. DE ESTADO DE HABITAÇÃO DE INTERESSE SOCIAL</t>
        </is>
      </c>
      <c r="F12" s="9" t="n">
        <v>45924</v>
      </c>
      <c r="G12" s="9" t="n">
        <v>46093</v>
      </c>
      <c r="H12" s="4" t="inlineStr">
        <is>
          <t>Não</t>
        </is>
      </c>
      <c r="I12" s="13" t="n"/>
    </row>
    <row r="13">
      <c r="A13" s="2" t="inlineStr">
        <is>
          <t>Processo</t>
        </is>
      </c>
      <c r="B13" s="4">
        <f>RIGHT(C13,4)</f>
        <v/>
      </c>
      <c r="C13" s="2" t="inlineStr">
        <is>
          <t>12770/2025</t>
        </is>
      </c>
      <c r="D13" s="2" t="inlineStr">
        <is>
          <t>CONVÊNIO BACEN/DESEG-50.719/2021 (CAPA AZUL)</t>
        </is>
      </c>
      <c r="E13" s="2" t="inlineStr">
        <is>
          <t>BACEN</t>
        </is>
      </c>
      <c r="F13" s="9" t="n">
        <v>45924</v>
      </c>
      <c r="G13" s="9" t="n">
        <v>46093</v>
      </c>
      <c r="H13" s="4" t="inlineStr">
        <is>
          <t>Não</t>
        </is>
      </c>
      <c r="I13" s="2" t="n"/>
    </row>
    <row r="14" ht="30" customHeight="1" s="79">
      <c r="A14" s="2" t="inlineStr">
        <is>
          <t>Processo</t>
        </is>
      </c>
      <c r="B14" s="4">
        <f>RIGHT(C14,4)</f>
        <v/>
      </c>
      <c r="C14" s="2" t="inlineStr">
        <is>
          <t>12647/2025</t>
        </is>
      </c>
      <c r="D14" s="2" t="inlineStr">
        <is>
          <t>TRANSFERÊNCIA DE RECURSOS DO FUNDO NACIONAL DE SEG. PÚBLICA AO ESTADO DO RJ</t>
        </is>
      </c>
      <c r="E14" s="2" t="inlineStr">
        <is>
          <t>MIN. DA JUSTIÇA E SEG. PÚBLICA</t>
        </is>
      </c>
      <c r="F14" s="9" t="n">
        <v>45924</v>
      </c>
      <c r="G14" s="9" t="n">
        <v>46093</v>
      </c>
      <c r="H14" s="4" t="inlineStr">
        <is>
          <t>Não</t>
        </is>
      </c>
      <c r="I14" s="13" t="n"/>
    </row>
    <row r="15">
      <c r="A15" s="2" t="inlineStr">
        <is>
          <t>Processo</t>
        </is>
      </c>
      <c r="B15" s="4">
        <f>RIGHT(C15,4)</f>
        <v/>
      </c>
      <c r="C15" s="2" t="inlineStr">
        <is>
          <t>12644/2025</t>
        </is>
      </c>
      <c r="D15" s="2" t="inlineStr">
        <is>
          <t>COMUNICA CRÉDITO DE RECURSOS</t>
        </is>
      </c>
      <c r="E15" s="2" t="inlineStr">
        <is>
          <t>CAIXA ECON. FEDERAL</t>
        </is>
      </c>
      <c r="F15" s="9" t="n">
        <v>45924</v>
      </c>
      <c r="G15" s="9" t="n">
        <v>46093</v>
      </c>
      <c r="H15" s="4" t="inlineStr">
        <is>
          <t>Não</t>
        </is>
      </c>
      <c r="I15" s="13" t="n"/>
    </row>
    <row r="16" ht="45" customHeight="1" s="79">
      <c r="A16" s="2" t="inlineStr">
        <is>
          <t>Processo</t>
        </is>
      </c>
      <c r="B16" s="4">
        <f>RIGHT(C16,4)</f>
        <v/>
      </c>
      <c r="C16" s="2" t="inlineStr">
        <is>
          <t>11018/2025</t>
        </is>
      </c>
      <c r="D16" s="2" t="inlineStr">
        <is>
          <t>RESCISÃO CONTRATUAL DO CONTRATO DE REPASSE CELEBRADO ENTRE O INSTITUTO RIO-METRÓLOPE E A CAIXA (CAPA AZUL)</t>
        </is>
      </c>
      <c r="E16" s="2" t="inlineStr">
        <is>
          <t>CAIXA ECON. FEDERAL</t>
        </is>
      </c>
      <c r="F16" s="9" t="n">
        <v>45924</v>
      </c>
      <c r="G16" s="9" t="n">
        <v>46093</v>
      </c>
      <c r="H16" s="4" t="inlineStr">
        <is>
          <t>Não</t>
        </is>
      </c>
      <c r="I16" s="13" t="n"/>
    </row>
    <row r="17" ht="45" customHeight="1" s="79">
      <c r="A17" s="2" t="inlineStr">
        <is>
          <t>Processo</t>
        </is>
      </c>
      <c r="B17" s="4">
        <f>RIGHT(C17,4)</f>
        <v/>
      </c>
      <c r="C17" s="2" t="inlineStr">
        <is>
          <t>12298/2025</t>
        </is>
      </c>
      <c r="D17" s="2" t="inlineStr">
        <is>
          <t>TERMO DE COMPROMISSO COM A FINALIDADE DE CONSTRUÇÃO DE UNIDADES HABITACIONAIS EM PORTO IMPERIAL - LOTE I</t>
        </is>
      </c>
      <c r="E17" s="2" t="inlineStr">
        <is>
          <t>CAIXA ECON. FEDERAL</t>
        </is>
      </c>
      <c r="F17" s="9" t="n">
        <v>45924</v>
      </c>
      <c r="G17" s="9" t="n">
        <v>46093</v>
      </c>
      <c r="H17" s="4" t="inlineStr">
        <is>
          <t>Não</t>
        </is>
      </c>
      <c r="I17" s="13" t="n"/>
    </row>
    <row r="18" ht="45" customHeight="1" s="79">
      <c r="A18" s="2" t="inlineStr">
        <is>
          <t>Processo</t>
        </is>
      </c>
      <c r="B18" s="4">
        <f>RIGHT(C18,4)</f>
        <v/>
      </c>
      <c r="C18" s="2" t="inlineStr">
        <is>
          <t>12306/2025</t>
        </is>
      </c>
      <c r="D18" s="2" t="inlineStr">
        <is>
          <t>TERMO DE COMPROMISSO COM A FINALIDADE DE CONSTRUÇÃO DE UNIDADES HABITACIONAIS EM RIO CLARO</t>
        </is>
      </c>
      <c r="E18" s="2" t="inlineStr">
        <is>
          <t>CAIXA ECON. FEDERAL</t>
        </is>
      </c>
      <c r="F18" s="9" t="n">
        <v>45924</v>
      </c>
      <c r="G18" s="9" t="n">
        <v>46097</v>
      </c>
      <c r="H18" s="4" t="inlineStr">
        <is>
          <t>Sim</t>
        </is>
      </c>
      <c r="I18" s="13" t="n"/>
    </row>
    <row r="19" ht="45" customHeight="1" s="79">
      <c r="A19" s="2" t="inlineStr">
        <is>
          <t>Processo</t>
        </is>
      </c>
      <c r="B19" s="4">
        <f>RIGHT(C19,4)</f>
        <v/>
      </c>
      <c r="C19" s="2" t="inlineStr">
        <is>
          <t>12296/2025</t>
        </is>
      </c>
      <c r="D19" s="2" t="inlineStr">
        <is>
          <t>TERMO DE COMPROMISSO COM A FINALIDADE DE CONSTRUÇÃO DE UNIDADES HABITACIONAIS EM LEVY GASPARIAN - LOTE I</t>
        </is>
      </c>
      <c r="E19" s="2" t="inlineStr">
        <is>
          <t>CAIXA ECON. FEDERAL</t>
        </is>
      </c>
      <c r="F19" s="9" t="n">
        <v>45924</v>
      </c>
      <c r="G19" s="9" t="n">
        <v>46097</v>
      </c>
      <c r="H19" s="4" t="inlineStr">
        <is>
          <t>Sim</t>
        </is>
      </c>
      <c r="I19" s="13" t="n"/>
    </row>
    <row r="20" ht="45" customHeight="1" s="79">
      <c r="A20" s="2" t="inlineStr">
        <is>
          <t>Processo</t>
        </is>
      </c>
      <c r="B20" s="4">
        <f>RIGHT(C20,4)</f>
        <v/>
      </c>
      <c r="C20" s="2" t="inlineStr">
        <is>
          <t>12504/2025</t>
        </is>
      </c>
      <c r="D20" s="2" t="inlineStr">
        <is>
          <t>TERMO DE COMPROMISSO - MINISTÉRIO DAS CIDADES - MCMV - FNHIS SUB 50</t>
        </is>
      </c>
      <c r="E20" s="2" t="inlineStr">
        <is>
          <t>SEC. DE ESTADO DE HABITAÇÃO DE INTERESSE SOCIAL</t>
        </is>
      </c>
      <c r="F20" s="9" t="n">
        <v>45924</v>
      </c>
      <c r="G20" s="9" t="n">
        <v>46097</v>
      </c>
      <c r="H20" s="4" t="inlineStr">
        <is>
          <t>Sim</t>
        </is>
      </c>
      <c r="I20" s="13" t="n"/>
    </row>
    <row r="21" ht="45" customHeight="1" s="79">
      <c r="A21" s="2" t="inlineStr">
        <is>
          <t>Processo</t>
        </is>
      </c>
      <c r="B21" s="4">
        <f>RIGHT(C21,4)</f>
        <v/>
      </c>
      <c r="C21" s="2" t="inlineStr">
        <is>
          <t>12293/2025</t>
        </is>
      </c>
      <c r="D21" s="2" t="inlineStr">
        <is>
          <t>TERMO DE COMPROMISSO COM A FINALIDADE DE CONSTRUÇÃO DE UNIDADES HABITACIONAIS EM PARATY NA LOCALIDADE PORTO IMPERIAL - LOTE II</t>
        </is>
      </c>
      <c r="E21" s="2" t="inlineStr">
        <is>
          <t>CAIXA ECON. FEDERAL</t>
        </is>
      </c>
      <c r="F21" s="9" t="n">
        <v>45924</v>
      </c>
      <c r="G21" s="9" t="n">
        <v>46097</v>
      </c>
      <c r="H21" s="4" t="inlineStr">
        <is>
          <t>Sim</t>
        </is>
      </c>
      <c r="I21" s="13" t="n"/>
    </row>
    <row r="22" ht="45" customHeight="1" s="79">
      <c r="A22" s="2" t="inlineStr">
        <is>
          <t>Processo</t>
        </is>
      </c>
      <c r="B22" s="4">
        <f>RIGHT(C22,4)</f>
        <v/>
      </c>
      <c r="C22" s="2" t="inlineStr">
        <is>
          <t>12295/2025</t>
        </is>
      </c>
      <c r="D22" s="2" t="inlineStr">
        <is>
          <t>TERMO DE COMPROMISSO COM A FINALIDADE DE CONSTRUÇÃO DE UNIDADES HABITACIONAIS EM NATIVIDADE - LOTE II</t>
        </is>
      </c>
      <c r="E22" s="2" t="inlineStr">
        <is>
          <t>CAIXA ECON. FEDERAL</t>
        </is>
      </c>
      <c r="F22" s="9" t="n">
        <v>45924</v>
      </c>
      <c r="G22" s="9" t="n">
        <v>46097</v>
      </c>
      <c r="H22" s="4" t="inlineStr">
        <is>
          <t>Sim</t>
        </is>
      </c>
      <c r="I22" s="13" t="n"/>
    </row>
    <row r="23" ht="45" customHeight="1" s="79">
      <c r="A23" s="2" t="inlineStr">
        <is>
          <t>Processo</t>
        </is>
      </c>
      <c r="B23" s="4">
        <f>RIGHT(C23,4)</f>
        <v/>
      </c>
      <c r="C23" s="2" t="inlineStr">
        <is>
          <t>12305/2025</t>
        </is>
      </c>
      <c r="D23" s="2" t="inlineStr">
        <is>
          <t>TERMO DE COMPROMISSO COM A FINALIDADE DE CONSTRUÇÃO DE UNIDADES HABITACIONAIS EM SUMIDOURO</t>
        </is>
      </c>
      <c r="E23" s="2" t="inlineStr">
        <is>
          <t>CAIXA ECON. FEDERAL</t>
        </is>
      </c>
      <c r="F23" s="9" t="n">
        <v>45924</v>
      </c>
      <c r="G23" s="9" t="n">
        <v>46097</v>
      </c>
      <c r="H23" s="4" t="inlineStr">
        <is>
          <t>Sim</t>
        </is>
      </c>
      <c r="I23" s="13" t="n"/>
    </row>
    <row r="24" ht="45" customHeight="1" s="79">
      <c r="A24" s="2" t="inlineStr">
        <is>
          <t>Processo</t>
        </is>
      </c>
      <c r="B24" s="4">
        <f>RIGHT(C24,4)</f>
        <v/>
      </c>
      <c r="C24" s="2" t="inlineStr">
        <is>
          <t>12307/2025</t>
        </is>
      </c>
      <c r="D24" s="2" t="inlineStr">
        <is>
          <t>TERMO DE COMPROMISSO COM A FINALIDADE DE CONSTRUÇÃO DE UNIDADES HABITACIONAIS EM SUMIDOURO</t>
        </is>
      </c>
      <c r="E24" s="2" t="inlineStr">
        <is>
          <t>CAIXA ECON. FEDERAL</t>
        </is>
      </c>
      <c r="F24" s="9" t="n">
        <v>45924</v>
      </c>
      <c r="G24" s="9" t="n">
        <v>46097</v>
      </c>
      <c r="H24" s="4" t="inlineStr">
        <is>
          <t>Sim</t>
        </is>
      </c>
      <c r="I24" s="13" t="n"/>
    </row>
    <row r="25" ht="45" customHeight="1" s="79">
      <c r="A25" s="2" t="inlineStr">
        <is>
          <t>Processo</t>
        </is>
      </c>
      <c r="B25" s="4">
        <f>RIGHT(C25,4)</f>
        <v/>
      </c>
      <c r="C25" s="2" t="inlineStr">
        <is>
          <t>12308/2025</t>
        </is>
      </c>
      <c r="D25" s="2" t="inlineStr">
        <is>
          <t>TERMO DE COMPROMISSO COM A FINALIDADE DE CONSTRUÇÃO DE UNIDADES HABITACIONAIS EM SÃO JOSÉ DO VALE DO RIO PRETO</t>
        </is>
      </c>
      <c r="E25" s="2" t="inlineStr">
        <is>
          <t>CAIXA ECON. FEDERAL</t>
        </is>
      </c>
      <c r="F25" s="9" t="n">
        <v>45924</v>
      </c>
      <c r="G25" s="9" t="n">
        <v>46097</v>
      </c>
      <c r="H25" s="4" t="inlineStr">
        <is>
          <t>Sim</t>
        </is>
      </c>
      <c r="I25" s="13" t="n"/>
    </row>
    <row r="26" ht="60" customHeight="1" s="79">
      <c r="A26" s="2" t="inlineStr">
        <is>
          <t>Processo</t>
        </is>
      </c>
      <c r="B26" s="4">
        <f>RIGHT(C26,4)</f>
        <v/>
      </c>
      <c r="C26" s="2" t="inlineStr">
        <is>
          <t>12302/2025</t>
        </is>
      </c>
      <c r="D26" s="2" t="inlineStr">
        <is>
          <t>TERMO DE COMPROMISSO COM A FINALIDADE DE CONSTRUÇÃO DE UNIDADES HABITACIONAIS EM COMENDADOR LEVY GASPARIAN NA LOCALIDADE BAIRRO DA RETA - LOTE II</t>
        </is>
      </c>
      <c r="E26" s="2" t="inlineStr">
        <is>
          <t>CAIXA ECON. FEDERAL</t>
        </is>
      </c>
      <c r="F26" s="9" t="n">
        <v>45924</v>
      </c>
      <c r="G26" s="9" t="n">
        <v>46097</v>
      </c>
      <c r="H26" s="4" t="inlineStr">
        <is>
          <t>Sim</t>
        </is>
      </c>
      <c r="I26" s="13" t="n"/>
    </row>
    <row r="27" ht="45" customHeight="1" s="79">
      <c r="A27" s="2" t="inlineStr">
        <is>
          <t>Processo</t>
        </is>
      </c>
      <c r="B27" s="4">
        <f>RIGHT(C27,4)</f>
        <v/>
      </c>
      <c r="C27" s="2" t="inlineStr">
        <is>
          <t>12300/2025</t>
        </is>
      </c>
      <c r="D27" s="2" t="inlineStr">
        <is>
          <t>TERMO DE COMPROMISSO COM A FINALIDADE DE CONSTRUÇÃO DE UNIDADES HABITACIONAIS EM NATIVIDADE - LOTE I</t>
        </is>
      </c>
      <c r="E27" s="2" t="inlineStr">
        <is>
          <t>CAIXA ECON. FEDERAL</t>
        </is>
      </c>
      <c r="F27" s="9" t="n">
        <v>45924</v>
      </c>
      <c r="G27" s="9" t="n">
        <v>46097</v>
      </c>
      <c r="H27" s="4" t="inlineStr">
        <is>
          <t>Sim</t>
        </is>
      </c>
      <c r="I27" s="13" t="n"/>
    </row>
    <row r="28" ht="45" customHeight="1" s="79">
      <c r="A28" s="2" t="inlineStr">
        <is>
          <t>Processo</t>
        </is>
      </c>
      <c r="B28" s="4">
        <f>RIGHT(C28,4)</f>
        <v/>
      </c>
      <c r="C28" s="2" t="inlineStr">
        <is>
          <t>12290/2025</t>
        </is>
      </c>
      <c r="D28" s="2" t="inlineStr">
        <is>
          <t>TERMO DE COMPROMISSO COM A FINALIDADE DE CONSTRUÇÃO DE UNIDADES HABITACIONAIS EM SILVA JARDIM - LOTE I</t>
        </is>
      </c>
      <c r="E28" s="2" t="inlineStr">
        <is>
          <t>CAIXA ECON. FEDERAL</t>
        </is>
      </c>
      <c r="F28" s="9" t="n">
        <v>45924</v>
      </c>
      <c r="G28" s="9" t="n">
        <v>46097</v>
      </c>
      <c r="H28" s="4" t="inlineStr">
        <is>
          <t>Sim</t>
        </is>
      </c>
      <c r="I28" s="13" t="n"/>
    </row>
    <row r="29" ht="45" customHeight="1" s="79">
      <c r="A29" s="2" t="inlineStr">
        <is>
          <t>Processo</t>
        </is>
      </c>
      <c r="B29" s="4">
        <f>RIGHT(C29,4)</f>
        <v/>
      </c>
      <c r="C29" s="2" t="inlineStr">
        <is>
          <t>12291/2025</t>
        </is>
      </c>
      <c r="D29" s="2" t="inlineStr">
        <is>
          <t>TERMO DE COMPROMISSO COM A FINALIDADE DE CONSTRUÇÃO DE UNIDADES HABITACIONAIS EM SÃO JOSÉ DO VALE DO RIO PRETO</t>
        </is>
      </c>
      <c r="E29" s="2" t="inlineStr">
        <is>
          <t>CAIXA ECON. FEDERAL</t>
        </is>
      </c>
      <c r="F29" s="9" t="n">
        <v>45924</v>
      </c>
      <c r="G29" s="9" t="n">
        <v>46097</v>
      </c>
      <c r="H29" s="4" t="inlineStr">
        <is>
          <t>Sim</t>
        </is>
      </c>
      <c r="I29" s="13" t="n"/>
    </row>
    <row r="30" ht="45" customHeight="1" s="79">
      <c r="A30" s="2" t="inlineStr">
        <is>
          <t>Processo</t>
        </is>
      </c>
      <c r="B30" s="4">
        <f>RIGHT(C30,4)</f>
        <v/>
      </c>
      <c r="C30" s="2" t="inlineStr">
        <is>
          <t>12292/2025</t>
        </is>
      </c>
      <c r="D30" s="2" t="inlineStr">
        <is>
          <t>TERMO DE COMPROMISSO COM A FINALIDADE DE CONSTRUÇÃO DE UNIDADES HABITACIONAIS EM RIO CLARO NA LOCALIDADE FAZENDA DA GRAMA</t>
        </is>
      </c>
      <c r="E30" s="2" t="inlineStr">
        <is>
          <t>CAIXA ECON. FEDERAL</t>
        </is>
      </c>
      <c r="F30" s="9" t="n">
        <v>45924</v>
      </c>
      <c r="G30" s="9" t="n">
        <v>46097</v>
      </c>
      <c r="H30" s="4" t="inlineStr">
        <is>
          <t>Sim</t>
        </is>
      </c>
      <c r="I30" s="13" t="n"/>
    </row>
    <row r="31">
      <c r="A31" s="2" t="inlineStr">
        <is>
          <t>Processo</t>
        </is>
      </c>
      <c r="B31" s="4">
        <f>RIGHT(C31,4)</f>
        <v/>
      </c>
      <c r="C31" s="2" t="inlineStr">
        <is>
          <t>14658/2025</t>
        </is>
      </c>
      <c r="D31" s="2" t="inlineStr">
        <is>
          <t>ENCAMINHA RESCISÃO CONTRATUAL</t>
        </is>
      </c>
      <c r="E31" s="2" t="inlineStr">
        <is>
          <t>CAIXA ECON. FEDERAL</t>
        </is>
      </c>
      <c r="F31" s="9" t="n">
        <v>45932</v>
      </c>
      <c r="G31" s="9" t="n">
        <v>46093</v>
      </c>
      <c r="H31" s="4" t="inlineStr">
        <is>
          <t>Não</t>
        </is>
      </c>
      <c r="I31" s="13" t="n"/>
    </row>
    <row r="32" ht="30" customHeight="1" s="79">
      <c r="A32" s="2" t="inlineStr">
        <is>
          <t>Processo</t>
        </is>
      </c>
      <c r="B32" s="4">
        <f>RIGHT(C32,4)</f>
        <v/>
      </c>
      <c r="C32" s="2" t="inlineStr">
        <is>
          <t>14659/2025</t>
        </is>
      </c>
      <c r="D32" s="2" t="inlineStr">
        <is>
          <t>TERMO DE COMPROMISSO - SISTEMA DE ESGOTAMENTO SANITÁRIO NO MIN. DE QUISSAMÃ</t>
        </is>
      </c>
      <c r="E32" s="2" t="inlineStr">
        <is>
          <t>CAIXA ECON. FEDERAL</t>
        </is>
      </c>
      <c r="F32" s="9" t="n">
        <v>45932</v>
      </c>
      <c r="G32" s="9" t="n">
        <v>46093</v>
      </c>
      <c r="H32" s="4" t="inlineStr">
        <is>
          <t>Não</t>
        </is>
      </c>
      <c r="I32" s="13" t="n"/>
    </row>
    <row r="33" ht="30" customHeight="1" s="79">
      <c r="A33" s="2" t="inlineStr">
        <is>
          <t>Processo</t>
        </is>
      </c>
      <c r="B33" s="4">
        <f>RIGHT(C33,4)</f>
        <v/>
      </c>
      <c r="C33" s="2" t="inlineStr">
        <is>
          <t>14352/2025</t>
        </is>
      </c>
      <c r="D33" s="2" t="inlineStr">
        <is>
          <t>ENCAMINHA DESCRIÇÃO DO PROGRAMA MINHA CASA, MINHA VIDA - INSTRUMENTO 974739</t>
        </is>
      </c>
      <c r="E33" s="2" t="inlineStr">
        <is>
          <t>SEC. DE ESTADO DE HABITAÇÃO - CEHAB</t>
        </is>
      </c>
      <c r="F33" s="9" t="n">
        <v>45960</v>
      </c>
      <c r="G33" s="4" t="n"/>
      <c r="H33" s="4" t="inlineStr">
        <is>
          <t>Sim</t>
        </is>
      </c>
      <c r="I33" s="13" t="n"/>
    </row>
    <row r="34">
      <c r="A34" s="2" t="inlineStr">
        <is>
          <t>Processo</t>
        </is>
      </c>
      <c r="B34" s="4">
        <f>RIGHT(C34,4)</f>
        <v/>
      </c>
      <c r="C34" s="2" t="inlineStr">
        <is>
          <t>15787/2025</t>
        </is>
      </c>
      <c r="D34" s="2" t="inlineStr">
        <is>
          <t>COMUNICA RESCISÃO CONTRATUAL</t>
        </is>
      </c>
      <c r="E34" s="2" t="inlineStr">
        <is>
          <t>CAIXA ECON. FEDERAL</t>
        </is>
      </c>
      <c r="F34" s="9" t="n">
        <v>45960</v>
      </c>
      <c r="G34" s="4" t="n"/>
      <c r="H34" s="4" t="inlineStr">
        <is>
          <t>Sim</t>
        </is>
      </c>
      <c r="I34" s="13" t="n"/>
    </row>
    <row r="35">
      <c r="A35" s="2" t="inlineStr">
        <is>
          <t>Processo</t>
        </is>
      </c>
      <c r="B35" s="4">
        <f>RIGHT(C35,4)</f>
        <v/>
      </c>
      <c r="C35" s="2" t="inlineStr">
        <is>
          <t>17057/2025</t>
        </is>
      </c>
      <c r="D35" s="2" t="inlineStr">
        <is>
          <t>COMUNICA RESCISÃO CONTRATUAL</t>
        </is>
      </c>
      <c r="E35" s="2" t="inlineStr">
        <is>
          <t>CAIXA ECON. FEDERAL</t>
        </is>
      </c>
      <c r="F35" s="9" t="n">
        <v>45960</v>
      </c>
      <c r="G35" s="4" t="n"/>
      <c r="H35" s="4" t="inlineStr">
        <is>
          <t>Sim</t>
        </is>
      </c>
      <c r="I35" s="13" t="n"/>
    </row>
    <row r="36" ht="60" customHeight="1" s="79">
      <c r="A36" s="2" t="inlineStr">
        <is>
          <t>Processo</t>
        </is>
      </c>
      <c r="B36" s="4">
        <f>RIGHT(C36,4)</f>
        <v/>
      </c>
      <c r="C36" s="2" t="inlineStr">
        <is>
          <t>14260/2025</t>
        </is>
      </c>
      <c r="D36" s="2" t="inlineStr">
        <is>
          <t>ENCAMINHA CÓPIA DA DECLARAÇÃO DE SUSTENTABILIDADE MODELO CAIXA TERMO DE COMPROMISSO 968458/2024 E PROPOSTA 30000000140/2023</t>
        </is>
      </c>
      <c r="E36" s="2" t="inlineStr">
        <is>
          <t>SECRETARIA DE ESTADO DA CASA CIVIL</t>
        </is>
      </c>
      <c r="F36" s="9" t="n">
        <v>45960</v>
      </c>
      <c r="G36" s="4" t="n"/>
      <c r="H36" s="4" t="inlineStr">
        <is>
          <t>Sim</t>
        </is>
      </c>
      <c r="I36" s="13" t="n"/>
    </row>
    <row r="37" ht="30" customHeight="1" s="79">
      <c r="A37" s="2" t="inlineStr">
        <is>
          <t>Processo</t>
        </is>
      </c>
      <c r="B37" s="4">
        <f>RIGHT(C37,4)</f>
        <v/>
      </c>
      <c r="C37" s="2" t="inlineStr">
        <is>
          <t>13933/2025</t>
        </is>
      </c>
      <c r="D37" s="2" t="inlineStr">
        <is>
          <t>ENCAMINHA DECLARAÇÕES DE SUSTENTABILIDADE E OUTROS</t>
        </is>
      </c>
      <c r="E37" s="2" t="inlineStr">
        <is>
          <t>INSTITUTO ESTADUAL DO AMBIENTE</t>
        </is>
      </c>
      <c r="F37" s="9" t="n">
        <v>45964</v>
      </c>
      <c r="G37" s="4" t="n"/>
      <c r="H37" s="4" t="inlineStr">
        <is>
          <t>Sim</t>
        </is>
      </c>
      <c r="I37" s="13" t="n"/>
    </row>
    <row r="38" ht="30" customHeight="1" s="79">
      <c r="A38" s="2" t="inlineStr">
        <is>
          <t>Processo</t>
        </is>
      </c>
      <c r="B38" s="4">
        <f>RIGHT(C38,4)</f>
        <v/>
      </c>
      <c r="C38" s="2" t="inlineStr">
        <is>
          <t>17686/2025</t>
        </is>
      </c>
      <c r="D38" s="2" t="inlineStr">
        <is>
          <t>ENCAMINHA RELATÓRIO ANUAL DE ACOMPAMHAMENTO DO PEDES</t>
        </is>
      </c>
      <c r="E38" s="2" t="inlineStr">
        <is>
          <t>SEPLAG</t>
        </is>
      </c>
      <c r="F38" s="9" t="n">
        <v>45965</v>
      </c>
      <c r="G38" s="4" t="n"/>
      <c r="H38" s="4" t="inlineStr">
        <is>
          <t>Sim</t>
        </is>
      </c>
      <c r="I38" s="13" t="n"/>
    </row>
    <row r="39" ht="45" customHeight="1" s="79">
      <c r="A39" s="2" t="inlineStr">
        <is>
          <t>Processo</t>
        </is>
      </c>
      <c r="B39" s="4">
        <f>RIGHT(C39,4)</f>
        <v/>
      </c>
      <c r="C39" s="2" t="inlineStr">
        <is>
          <t>12738/2025</t>
        </is>
      </c>
      <c r="D39" s="2" t="inlineStr">
        <is>
          <t>ENCAMINHA CELEBRAÇÃO DE CONVÊNIO DE ADESAO COM OS MUNICÍPIOS DE NOVA FRIBURGO E MAGÉ</t>
        </is>
      </c>
      <c r="E39" s="2" t="inlineStr">
        <is>
          <t>GOV.ESTADO - FUNDAÇÃO PREVIDÊNCIA COMPLEMENTAR DO ERJ</t>
        </is>
      </c>
      <c r="F39" s="9" t="n">
        <v>45965</v>
      </c>
      <c r="G39" s="4" t="n"/>
      <c r="H39" s="4" t="inlineStr">
        <is>
          <t>Sim</t>
        </is>
      </c>
      <c r="I39" s="13" t="n"/>
    </row>
    <row r="40" ht="45" customHeight="1" s="79">
      <c r="A40" s="2" t="inlineStr">
        <is>
          <t>Processo</t>
        </is>
      </c>
      <c r="B40" s="4">
        <f>RIGHT(C40,4)</f>
        <v/>
      </c>
      <c r="C40" s="2" t="inlineStr">
        <is>
          <t>17946/2025</t>
        </is>
      </c>
      <c r="D40" s="2" t="inlineStr">
        <is>
          <t>PROPOSTA DE NOTA TÉCNICA ... DESTINAÇÃO DE RECURSOS DE COMPENSAÇÃO FINANCEIRAS ORIUNDAS DA PRODUÇÃO E GAS NATURAL</t>
        </is>
      </c>
      <c r="E40" s="2" t="inlineStr">
        <is>
          <t>TRIBUNAL DE CONTAS DO ESTADO - TCE</t>
        </is>
      </c>
      <c r="F40" s="9" t="n">
        <v>45980</v>
      </c>
      <c r="G40" s="4" t="n"/>
      <c r="H40" s="4" t="inlineStr">
        <is>
          <t>Sim</t>
        </is>
      </c>
      <c r="I40" s="13" t="n"/>
    </row>
    <row r="41">
      <c r="A41" s="2" t="inlineStr">
        <is>
          <t>Processo</t>
        </is>
      </c>
      <c r="B41" s="4">
        <f>RIGHT(C41,4)</f>
        <v/>
      </c>
      <c r="C41" s="2" t="inlineStr">
        <is>
          <t>17773/2025</t>
        </is>
      </c>
      <c r="D41" s="2" t="inlineStr">
        <is>
          <t>RESCISÃO CONTRATUAL</t>
        </is>
      </c>
      <c r="E41" s="2" t="inlineStr">
        <is>
          <t>CAIXA ECON. FEDERAL</t>
        </is>
      </c>
      <c r="F41" s="9" t="n">
        <v>45980</v>
      </c>
      <c r="G41" s="9" t="n">
        <v>46092</v>
      </c>
      <c r="H41" s="4" t="inlineStr">
        <is>
          <t>Não</t>
        </is>
      </c>
      <c r="I41" s="13" t="n"/>
    </row>
    <row r="42" ht="45" customHeight="1" s="79">
      <c r="A42" s="2" t="inlineStr">
        <is>
          <t>Processo</t>
        </is>
      </c>
      <c r="B42" s="4">
        <f>RIGHT(C42,4)</f>
        <v/>
      </c>
      <c r="C42" s="2" t="inlineStr">
        <is>
          <t>17949/2025</t>
        </is>
      </c>
      <c r="D42" s="2" t="inlineStr">
        <is>
          <t>LIBERAÇÃO DE RECURSO AO CONVÊNIO 902562/2020</t>
        </is>
      </c>
      <c r="E42" s="2" t="inlineStr">
        <is>
          <t>MINISTÉRIO DA JUSTIÇA - DIRETORIA DE CIDADANIA E ALTERNATIVAS PENAIS</t>
        </is>
      </c>
      <c r="F42" s="9" t="n">
        <v>45980</v>
      </c>
      <c r="G42" s="9" t="n">
        <v>46092</v>
      </c>
      <c r="H42" s="4" t="inlineStr">
        <is>
          <t>Não</t>
        </is>
      </c>
      <c r="I42" s="13" t="n"/>
    </row>
    <row r="43" ht="75" customHeight="1" s="79">
      <c r="A43" s="2" t="inlineStr">
        <is>
          <t>Processo</t>
        </is>
      </c>
      <c r="B43" s="4">
        <f>RIGHT(C43,4)</f>
        <v/>
      </c>
      <c r="C43" s="2" t="inlineStr">
        <is>
          <t>16296/2025</t>
        </is>
      </c>
      <c r="D43" s="2" t="inlineStr">
        <is>
          <t>LIBERAÇÃO DE RECURSO AO CONVÊNIO 006/2024 - PROVITA/RJ</t>
        </is>
      </c>
      <c r="E43" s="2" t="inlineStr">
        <is>
          <t>MINISTÉRIO DOS DIREITOS HUMANOS E DA CIDADANIA/COORDENAÇÃO GERAL DE ACOMPANHAMENTO DE PARCERIAS</t>
        </is>
      </c>
      <c r="F43" s="9" t="n">
        <v>45980</v>
      </c>
      <c r="G43" s="9" t="n">
        <v>46092</v>
      </c>
      <c r="H43" s="4" t="inlineStr">
        <is>
          <t>Não</t>
        </is>
      </c>
      <c r="I43" s="13" t="n"/>
    </row>
    <row r="44" ht="30" customHeight="1" s="79">
      <c r="A44" s="2" t="inlineStr">
        <is>
          <t>Processo</t>
        </is>
      </c>
      <c r="B44" s="4" t="n"/>
      <c r="C44" s="2" t="inlineStr">
        <is>
          <t>19188/2025</t>
        </is>
      </c>
      <c r="D44" s="2" t="inlineStr">
        <is>
          <t>RELATÓRIO DE ATIVIDADES DO TCE REFERENTE AO 3º TRIMESTRE DE 2025</t>
        </is>
      </c>
      <c r="E44" s="2" t="inlineStr">
        <is>
          <t>TRIBUNAL DE CONTAS DO ESTADO - TCE</t>
        </is>
      </c>
      <c r="F44" s="9" t="n">
        <v>45995</v>
      </c>
      <c r="G44" s="4" t="n"/>
      <c r="H44" s="4" t="inlineStr">
        <is>
          <t>Sim</t>
        </is>
      </c>
      <c r="I44" s="13" t="n"/>
    </row>
    <row r="45" ht="45" customHeight="1" s="79">
      <c r="A45" s="2" t="inlineStr">
        <is>
          <t>Processo</t>
        </is>
      </c>
      <c r="B45" s="4" t="n"/>
      <c r="C45" s="2" t="inlineStr">
        <is>
          <t>19102/2025</t>
        </is>
      </c>
      <c r="D45" s="2" t="inlineStr">
        <is>
          <t>COMUNICADO DA 11ª SESSÃO REGULATÓIA ORDINÁRIA VIRTUAL DO CONSELHO DIRETOR DESTA AGENERSA</t>
        </is>
      </c>
      <c r="E45" s="2" t="inlineStr">
        <is>
          <t>AGENCIA REGULADORA DE ENERGIA E SANEAMENTO BASICO DO ERJ - AGENERSA</t>
        </is>
      </c>
      <c r="F45" s="9" t="n">
        <v>45995</v>
      </c>
      <c r="G45" s="4" t="n"/>
      <c r="H45" s="4" t="inlineStr">
        <is>
          <t>Sim</t>
        </is>
      </c>
      <c r="I45" s="13" t="n"/>
    </row>
    <row r="46" ht="30" customHeight="1" s="79">
      <c r="A46" s="2" t="inlineStr">
        <is>
          <t>Processo</t>
        </is>
      </c>
      <c r="B46" s="4" t="n"/>
      <c r="C46" s="2" t="inlineStr">
        <is>
          <t>17765/2025</t>
        </is>
      </c>
      <c r="D46" s="2" t="inlineStr">
        <is>
          <t>ATENDIMENTO A EXIGENCIA PARA RETIRADA DA CLAUSULA SUSPENSIVA</t>
        </is>
      </c>
      <c r="E46" s="2" t="inlineStr">
        <is>
          <t>GOVERNO DO ESTADO DO RJ</t>
        </is>
      </c>
      <c r="F46" s="9" t="n">
        <v>46000</v>
      </c>
      <c r="G46" s="4" t="n"/>
      <c r="H46" s="12" t="inlineStr">
        <is>
          <t>Sim</t>
        </is>
      </c>
      <c r="I46" s="2" t="n"/>
    </row>
    <row r="47" ht="30" customHeight="1" s="79">
      <c r="A47" s="2" t="inlineStr">
        <is>
          <t>Processo</t>
        </is>
      </c>
      <c r="B47" s="4" t="n"/>
      <c r="C47" s="2" t="inlineStr">
        <is>
          <t>18711/2025</t>
        </is>
      </c>
      <c r="D47" s="2" t="inlineStr">
        <is>
          <t>TERMO DE COMPROMISSO CELEBRADO ENTRE O ESTADO DO RJ E A CAIXA ECONOMICA FEDERAL</t>
        </is>
      </c>
      <c r="E47" s="2" t="inlineStr">
        <is>
          <t>CAIXA ECON. FEDERAL</t>
        </is>
      </c>
      <c r="F47" s="9" t="n">
        <v>46000</v>
      </c>
      <c r="G47" s="4" t="n"/>
      <c r="H47" s="12" t="inlineStr">
        <is>
          <t>Sim</t>
        </is>
      </c>
      <c r="I47" s="2" t="n"/>
    </row>
    <row r="48" ht="45" customHeight="1" s="79">
      <c r="A48" s="2" t="inlineStr">
        <is>
          <t>Processo</t>
        </is>
      </c>
      <c r="B48" s="4" t="n"/>
      <c r="C48" s="2" t="inlineStr">
        <is>
          <t>18827/2025</t>
        </is>
      </c>
      <c r="D48" s="2" t="inlineStr">
        <is>
          <t>ENCAMINHA TERMO DE COMPROMISSO N. 960188/24</t>
        </is>
      </c>
      <c r="E48" s="2" t="inlineStr">
        <is>
          <t>COORDENAÇÃO DE GOVERNO DO ESTADO - GIGOVRJ/CAIXA ECONOMICA FEDERAL</t>
        </is>
      </c>
      <c r="F48" s="9" t="n">
        <v>46000</v>
      </c>
      <c r="G48" s="4" t="n"/>
      <c r="H48" s="12" t="inlineStr">
        <is>
          <t>Sim</t>
        </is>
      </c>
      <c r="I48" s="2" t="n"/>
    </row>
    <row r="49" ht="30" customHeight="1" s="79">
      <c r="A49" s="2" t="inlineStr">
        <is>
          <t>Processo</t>
        </is>
      </c>
      <c r="B49" s="4" t="n"/>
      <c r="C49" s="2" t="inlineStr">
        <is>
          <t>17120/2025</t>
        </is>
      </c>
      <c r="D49" s="2" t="inlineStr">
        <is>
          <t>COMUNICA TERMOS PROFERIDOS CONFORME VOTO DA CONSELHEIRA MARIANNA MONTEBELO WILEMAN</t>
        </is>
      </c>
      <c r="E49" s="2" t="inlineStr">
        <is>
          <t>TRIBUNAL DE CONTAS DO ESTADO - TCE</t>
        </is>
      </c>
      <c r="F49" s="9" t="n">
        <v>46000</v>
      </c>
      <c r="G49" s="4" t="n"/>
      <c r="H49" s="12" t="n"/>
      <c r="I49" s="2" t="n"/>
    </row>
    <row r="50" ht="45" customHeight="1" s="79">
      <c r="A50" s="2" t="inlineStr">
        <is>
          <t>Processo</t>
        </is>
      </c>
      <c r="B50" s="4" t="n"/>
      <c r="C50" s="2" t="inlineStr">
        <is>
          <t>10852/2025</t>
        </is>
      </c>
      <c r="D50" s="2" t="inlineStr">
        <is>
          <t>ENCAMINHA TERMOS DO CONVÊNIO 013/2025 ENTRE O DETRO/RJ E A SECRETARIA DE ESTADO DE POLICIA CIVIL</t>
        </is>
      </c>
      <c r="E50" s="2" t="inlineStr">
        <is>
          <t>DEPARTAMENTO DE TRANSPORTES RODOVIARIOS DO ESTADO DO RJ</t>
        </is>
      </c>
      <c r="F50" s="9" t="n">
        <v>46000</v>
      </c>
      <c r="G50" s="9" t="n">
        <v>46092</v>
      </c>
      <c r="H50" s="12" t="inlineStr">
        <is>
          <t>Não</t>
        </is>
      </c>
      <c r="I50" s="2" t="n"/>
    </row>
    <row r="51" ht="30" customHeight="1" s="79">
      <c r="A51" s="2" t="inlineStr">
        <is>
          <t>Processo</t>
        </is>
      </c>
      <c r="B51" s="4" t="n"/>
      <c r="C51" s="2" t="inlineStr">
        <is>
          <t>12304/2025</t>
        </is>
      </c>
      <c r="D51" s="2" t="inlineStr">
        <is>
          <t>ENCAMINHAMENTO DE ACORDO...</t>
        </is>
      </c>
      <c r="E51" s="2" t="inlineStr">
        <is>
          <t>MINISTÉRIO DA JUSTIÇA E SEGURANÇA PÚBLICA</t>
        </is>
      </c>
      <c r="F51" s="9" t="n">
        <v>46001</v>
      </c>
      <c r="G51" s="9" t="n">
        <v>46092</v>
      </c>
      <c r="H51" s="12" t="inlineStr">
        <is>
          <t>Não</t>
        </is>
      </c>
      <c r="I51" s="2" t="n"/>
    </row>
    <row r="52" ht="30" customHeight="1" s="79">
      <c r="A52" s="2" t="inlineStr">
        <is>
          <t>Processo</t>
        </is>
      </c>
      <c r="B52" s="4" t="n"/>
      <c r="C52" s="2" t="inlineStr">
        <is>
          <t>12401/2025</t>
        </is>
      </c>
      <c r="D52" s="2" t="inlineStr">
        <is>
          <t>ENCAMINHAMENTO DE ACORDO...</t>
        </is>
      </c>
      <c r="E52" s="2" t="inlineStr">
        <is>
          <t>MINISTÉRIO DA JUSTIÇA E SEGURANÇA PÚBLICA</t>
        </is>
      </c>
      <c r="F52" s="9" t="n">
        <v>46001</v>
      </c>
      <c r="G52" s="9" t="n">
        <v>46092</v>
      </c>
      <c r="H52" s="12" t="inlineStr">
        <is>
          <t>Não</t>
        </is>
      </c>
      <c r="I52" s="2" t="n"/>
    </row>
    <row r="53" ht="30" customHeight="1" s="79">
      <c r="A53" s="2" t="inlineStr">
        <is>
          <t>Processo</t>
        </is>
      </c>
      <c r="B53" s="4" t="n"/>
      <c r="C53" s="2" t="inlineStr">
        <is>
          <t>18392/2025</t>
        </is>
      </c>
      <c r="D53" s="2" t="inlineStr">
        <is>
          <t>REF PROCEDIMENTO SEI N. 20.22.0001.0072755.2025-69</t>
        </is>
      </c>
      <c r="E53" s="2" t="inlineStr">
        <is>
          <t>MINISTÉRIO PÚBLICO DO ESTADO DO RIO DE JANEIRO</t>
        </is>
      </c>
      <c r="F53" s="9" t="n">
        <v>46002</v>
      </c>
      <c r="G53" s="4" t="n"/>
      <c r="H53" s="12" t="n"/>
      <c r="I53" s="2" t="n"/>
    </row>
    <row r="54" ht="60" customHeight="1" s="79">
      <c r="A54" s="2" t="inlineStr">
        <is>
          <t>Processo</t>
        </is>
      </c>
      <c r="B54" s="4" t="n"/>
      <c r="C54" s="2" t="inlineStr">
        <is>
          <t>2088/2025</t>
        </is>
      </c>
      <c r="D54" s="2" t="inlineStr">
        <is>
          <t>RELATÓRIO ANUAL DO FUNDO ESTADUAL DE FOMENTO AO MICROCRÉDITO PRODUTIVO ORIENTADO PARA EMPREENDEDORES - EXERCÍCIO 2024</t>
        </is>
      </c>
      <c r="E54" s="2" t="inlineStr">
        <is>
          <t>AGENCIA DE FOMENTO DO ESTADO DO RIO DE JANEIRO - PRESIDÊNCIA</t>
        </is>
      </c>
      <c r="F54" s="9" t="n">
        <v>46002</v>
      </c>
      <c r="G54" s="9" t="n">
        <v>46092</v>
      </c>
      <c r="H54" s="12" t="inlineStr">
        <is>
          <t>Não</t>
        </is>
      </c>
      <c r="I54" s="2" t="n"/>
    </row>
    <row r="55" ht="45" customHeight="1" s="79">
      <c r="A55" s="2" t="inlineStr">
        <is>
          <t>Processo</t>
        </is>
      </c>
      <c r="B55" s="4" t="n"/>
      <c r="C55" s="2" t="inlineStr">
        <is>
          <t>19243/2025</t>
        </is>
      </c>
      <c r="D55" s="2" t="inlineStr">
        <is>
          <t>CRÉDITO DE RECURSOS FINANCEIROS - ORÇAMENTO GERAL DA UNIÃO</t>
        </is>
      </c>
      <c r="E55" s="2" t="inlineStr">
        <is>
          <t>COORDENAÇÃO GOVERNO - GIGOVRJ/CAIXA ECONIMICA FDERAL</t>
        </is>
      </c>
      <c r="F55" s="9" t="n">
        <v>46062</v>
      </c>
      <c r="G55" s="9" t="n">
        <v>46092</v>
      </c>
      <c r="H55" s="12" t="inlineStr">
        <is>
          <t>Não</t>
        </is>
      </c>
      <c r="I55" s="2" t="n"/>
    </row>
    <row r="56" ht="30" customHeight="1" s="79">
      <c r="A56" s="2" t="inlineStr">
        <is>
          <t>Processo</t>
        </is>
      </c>
      <c r="B56" s="4" t="n"/>
      <c r="C56" s="2" t="inlineStr">
        <is>
          <t>19382/2025</t>
        </is>
      </c>
      <c r="D56" s="2" t="inlineStr">
        <is>
          <t>COMUNICA ACÓRDÃO</t>
        </is>
      </c>
      <c r="E56" s="2" t="inlineStr">
        <is>
          <t>TRIBUNAL DE CONTAS DO ESTADO - TCE</t>
        </is>
      </c>
      <c r="F56" s="9" t="n">
        <v>46062</v>
      </c>
      <c r="G56" s="9" t="n">
        <v>46092</v>
      </c>
      <c r="H56" s="12" t="inlineStr">
        <is>
          <t>Não</t>
        </is>
      </c>
      <c r="I56" s="2" t="n"/>
    </row>
    <row r="57">
      <c r="A57" s="2" t="inlineStr">
        <is>
          <t>Processo</t>
        </is>
      </c>
      <c r="B57" s="4" t="n"/>
      <c r="C57" s="2" t="inlineStr">
        <is>
          <t>19605/2025</t>
        </is>
      </c>
      <c r="D57" s="2" t="inlineStr">
        <is>
          <t>RELAT. DE DESEMPENHO DE LONGO PRAZO</t>
        </is>
      </c>
      <c r="E57" s="2" t="inlineStr">
        <is>
          <t>GOVRJ - AG. DE FOMENTO</t>
        </is>
      </c>
      <c r="F57" s="9" t="n">
        <v>46062</v>
      </c>
      <c r="G57" s="9" t="n">
        <v>46092</v>
      </c>
      <c r="H57" s="12" t="inlineStr">
        <is>
          <t>Não</t>
        </is>
      </c>
      <c r="I57" s="2" t="n"/>
    </row>
    <row r="58" ht="30" customHeight="1" s="79">
      <c r="A58" s="2" t="inlineStr">
        <is>
          <t>Processo</t>
        </is>
      </c>
      <c r="B58" s="4" t="n"/>
      <c r="C58" s="2" t="inlineStr">
        <is>
          <t>19345/2025</t>
        </is>
      </c>
      <c r="D58" s="2" t="inlineStr">
        <is>
          <t>COMUNICA ACÓRDÃO</t>
        </is>
      </c>
      <c r="E58" s="2" t="inlineStr">
        <is>
          <t>TRIBUNAL DE CONTAS DO ESTADO - TCE</t>
        </is>
      </c>
      <c r="F58" s="9" t="n">
        <v>46062</v>
      </c>
      <c r="G58" s="4" t="n"/>
      <c r="H58" s="12" t="inlineStr">
        <is>
          <t>Sim</t>
        </is>
      </c>
      <c r="I58" s="2" t="n"/>
    </row>
    <row r="59" ht="30" customHeight="1" s="79">
      <c r="A59" s="2" t="inlineStr">
        <is>
          <t>Processo</t>
        </is>
      </c>
      <c r="B59" s="4" t="n"/>
      <c r="C59" s="2" t="inlineStr">
        <is>
          <t>20122/2025</t>
        </is>
      </c>
      <c r="D59" s="2" t="inlineStr">
        <is>
          <t>RELATÓRIO DE AUDITORIA/CONFORMIDADE/ORDINÁRIA</t>
        </is>
      </c>
      <c r="E59" s="2" t="inlineStr">
        <is>
          <t>TRIBUNAL DE CONTAS DO ESTADO - TCE</t>
        </is>
      </c>
      <c r="F59" s="9" t="n">
        <v>46064</v>
      </c>
      <c r="G59" s="4" t="n"/>
      <c r="H59" s="12" t="inlineStr">
        <is>
          <t>Sim</t>
        </is>
      </c>
      <c r="I59" s="2" t="n"/>
    </row>
    <row r="60" ht="45" customHeight="1" s="79">
      <c r="A60" s="2" t="inlineStr">
        <is>
          <t>Processo</t>
        </is>
      </c>
      <c r="B60" s="4" t="n"/>
      <c r="C60" s="2" t="inlineStr">
        <is>
          <t>1428/2026</t>
        </is>
      </c>
      <c r="D60" s="2" t="inlineStr">
        <is>
          <t>RELATÓRIO ANUAL DO FUNDO ESTADUAL DE FOMENTO AO MICROCRÉDITO PRODUTIVO ORIENTADO PARA EMPREENDEDORES</t>
        </is>
      </c>
      <c r="E60" s="2" t="inlineStr">
        <is>
          <t>GOVERNO DO ESTADO DO RJ / AGENCIA DE FOMENTO DO ESTADO DO RIO DE JANEIRO</t>
        </is>
      </c>
      <c r="F60" s="9" t="n">
        <v>46065</v>
      </c>
      <c r="G60" s="9" t="n">
        <v>46092</v>
      </c>
      <c r="H60" s="12" t="inlineStr">
        <is>
          <t>Não</t>
        </is>
      </c>
      <c r="I60" s="2" t="n"/>
    </row>
    <row r="61" ht="30" customHeight="1" s="79">
      <c r="A61" s="2" t="inlineStr">
        <is>
          <t>Processo</t>
        </is>
      </c>
      <c r="B61" s="4" t="n"/>
      <c r="C61" s="2" t="inlineStr">
        <is>
          <t>19434/2025</t>
        </is>
      </c>
      <c r="D61" s="2" t="inlineStr">
        <is>
          <t>PROCEDIMENTO SEI 20.22.0001.0085366.2025-42</t>
        </is>
      </c>
      <c r="E61" s="2" t="inlineStr">
        <is>
          <t>MINISTÉRIO PÚBLICO DO ESTADO DO RIO DE JANEIRO</t>
        </is>
      </c>
      <c r="F61" s="9" t="n">
        <v>46083</v>
      </c>
      <c r="G61" s="4" t="n"/>
      <c r="H61" s="12" t="inlineStr">
        <is>
          <t>Sim</t>
        </is>
      </c>
      <c r="I61" s="2" t="n"/>
    </row>
    <row r="62" ht="30" customHeight="1" s="79">
      <c r="A62" s="2" t="inlineStr">
        <is>
          <t>Processo</t>
        </is>
      </c>
      <c r="B62" s="4" t="n"/>
      <c r="C62" s="2" t="inlineStr">
        <is>
          <t>659/2026</t>
        </is>
      </c>
      <c r="D62" s="2" t="inlineStr">
        <is>
          <t>PROCEDIMENTO ADMINISTRATIVO</t>
        </is>
      </c>
      <c r="E62" s="2" t="inlineStr">
        <is>
          <t>MINISTÉRIO PÚBLICO DO ESTADO DO RIO DE JANEIRO</t>
        </is>
      </c>
      <c r="F62" s="9" t="n">
        <v>46085</v>
      </c>
      <c r="G62" s="4" t="n"/>
      <c r="H62" s="12" t="inlineStr">
        <is>
          <t>Sim</t>
        </is>
      </c>
      <c r="I62" s="2" t="n"/>
    </row>
    <row r="63" ht="45" customHeight="1" s="79">
      <c r="A63" s="2" t="inlineStr">
        <is>
          <t>Processo</t>
        </is>
      </c>
      <c r="B63" s="4" t="n"/>
      <c r="C63" s="2" t="inlineStr">
        <is>
          <t>1532/2026</t>
        </is>
      </c>
      <c r="D63" s="2" t="inlineStr">
        <is>
          <t>ACÓRDÃO</t>
        </is>
      </c>
      <c r="E63" s="2" t="inlineStr">
        <is>
          <t>TRIBUNAL DE CONTAS DO ESTADO - TCE</t>
        </is>
      </c>
      <c r="F63" s="9" t="n">
        <v>46064</v>
      </c>
      <c r="G63" s="4" t="n"/>
      <c r="H63" s="12" t="inlineStr">
        <is>
          <t>Não</t>
        </is>
      </c>
      <c r="I63" s="2" t="inlineStr">
        <is>
          <t>Pego em 05/03 e entregue a Consultoria Orçamentaria a pedido do seu diretor</t>
        </is>
      </c>
    </row>
    <row r="64">
      <c r="A64" s="2" t="inlineStr">
        <is>
          <t>Processo</t>
        </is>
      </c>
      <c r="B64" s="4" t="n"/>
      <c r="C64" s="2" t="inlineStr">
        <is>
          <t>20122/2025</t>
        </is>
      </c>
      <c r="D64" s="2" t="n"/>
      <c r="E64" s="2" t="n"/>
      <c r="F64" s="9" t="n">
        <v>46064</v>
      </c>
      <c r="G64" s="4" t="n"/>
      <c r="H64" s="12" t="inlineStr">
        <is>
          <t>Sim</t>
        </is>
      </c>
      <c r="I64" s="2" t="n"/>
    </row>
    <row r="65" ht="30" customHeight="1" s="79">
      <c r="A65" s="2" t="inlineStr">
        <is>
          <t>Processo</t>
        </is>
      </c>
      <c r="B65" s="4" t="n"/>
      <c r="C65" s="2" t="inlineStr">
        <is>
          <t>2061/2026</t>
        </is>
      </c>
      <c r="D65" s="2" t="inlineStr">
        <is>
          <t>RELATÓRIO DE RECEITAS E DESPESAS DO ESTADO REFERENTE AO 2o TRIMESTRE DE 2025</t>
        </is>
      </c>
      <c r="E65" s="2" t="inlineStr">
        <is>
          <t>TRIBUNAL DE CONTAS DO ESTADO - TCE</t>
        </is>
      </c>
      <c r="F65" s="9" t="n">
        <v>46091</v>
      </c>
      <c r="G65" s="9" t="n">
        <v>46092</v>
      </c>
      <c r="H65" s="12" t="inlineStr">
        <is>
          <t>Não</t>
        </is>
      </c>
      <c r="I65" s="2" t="n"/>
    </row>
    <row r="66" ht="60" customHeight="1" s="79">
      <c r="A66" s="2" t="inlineStr">
        <is>
          <t>Processo</t>
        </is>
      </c>
      <c r="B66" s="4" t="n"/>
      <c r="C66" s="2" t="inlineStr">
        <is>
          <t>17056/2025</t>
        </is>
      </c>
      <c r="D66" s="2" t="inlineStr">
        <is>
          <t>INFORMA CELEBRAÇÃO DE CONVÊNIO ENTRE A FUNDAÇÃO DE PREVIDÊNCIA COMPLEMENTAR DO ESTADO DO RJ-PREV E OS MUNICÍPIOS DE QUISAMA E MARICA</t>
        </is>
      </c>
      <c r="E66" s="2" t="inlineStr">
        <is>
          <t>GOV.ESTADO - FUNDAÇÃO PREVIDÊNCIA COMPLEMENTAR DO ERJ</t>
        </is>
      </c>
      <c r="F66" s="9" t="n"/>
      <c r="G66" s="9" t="n">
        <v>46092</v>
      </c>
      <c r="H66" s="12" t="inlineStr">
        <is>
          <t>Não</t>
        </is>
      </c>
      <c r="I66" s="2" t="n"/>
    </row>
    <row r="67" ht="30" customHeight="1" s="79">
      <c r="A67" s="2" t="inlineStr">
        <is>
          <t>Processo</t>
        </is>
      </c>
      <c r="B67" s="4" t="n"/>
      <c r="C67" s="2" t="inlineStr">
        <is>
          <t>8025/2025</t>
        </is>
      </c>
      <c r="D67" s="2" t="inlineStr">
        <is>
          <t>COMUNICA TERMOS DO ACÓRDÃO PROCESSO 100.111-4/2025 EM 02/04/2025</t>
        </is>
      </c>
      <c r="E67" s="2" t="inlineStr">
        <is>
          <t>TRIBUNAL DE CONTAS DO ESTADO - TCE - SSE</t>
        </is>
      </c>
      <c r="F67" s="9" t="n"/>
      <c r="G67" s="9" t="n">
        <v>46093</v>
      </c>
      <c r="H67" s="12" t="inlineStr">
        <is>
          <t>Não</t>
        </is>
      </c>
      <c r="I67" s="2" t="inlineStr">
        <is>
          <t>Já estava no gabinete antes de eu assumir a comissão</t>
        </is>
      </c>
    </row>
    <row r="68" ht="30" customHeight="1" s="79">
      <c r="A68" s="2" t="inlineStr">
        <is>
          <t>Processo</t>
        </is>
      </c>
      <c r="B68" s="4" t="n"/>
      <c r="C68" s="2" t="inlineStr">
        <is>
          <t>2564/2024</t>
        </is>
      </c>
      <c r="D68" s="2" t="inlineStr">
        <is>
          <t>COMUNICA TERMOS DO ACÓRDÃO PROCESSO 102.042-5/2022 EM 21/02/2024</t>
        </is>
      </c>
      <c r="E68" s="2" t="inlineStr">
        <is>
          <t>TRIBUNAL DE CONTAS DO ESTADO - TCE</t>
        </is>
      </c>
      <c r="F68" s="9" t="n"/>
      <c r="G68" s="9" t="n">
        <v>46093</v>
      </c>
      <c r="H68" s="12" t="inlineStr">
        <is>
          <t>Não</t>
        </is>
      </c>
      <c r="I68" s="2" t="inlineStr">
        <is>
          <t>Já estava no gabinete antes de eu assumir a comissão</t>
        </is>
      </c>
    </row>
    <row r="69" ht="30" customHeight="1" s="79">
      <c r="A69" s="2" t="inlineStr">
        <is>
          <t>Processo</t>
        </is>
      </c>
      <c r="B69" s="4">
        <f>RIGHT(C69,4)</f>
        <v/>
      </c>
      <c r="C69" s="2" t="inlineStr">
        <is>
          <t>12842/2024</t>
        </is>
      </c>
      <c r="D69" s="2" t="inlineStr">
        <is>
          <t>ENCAMINHA RELATÓRIO RE GPLAN 02/204 ACERCA DO DESENPENHO A LONGO PRAZO DA AGERIO</t>
        </is>
      </c>
      <c r="E69" s="2" t="inlineStr">
        <is>
          <t>AGENCIA DE FOMENTO DO ESTADO DO RIO DE JANEIRO</t>
        </is>
      </c>
      <c r="F69" s="9" t="n"/>
      <c r="G69" s="9" t="n">
        <v>46093</v>
      </c>
      <c r="H69" s="12" t="inlineStr">
        <is>
          <t>Não</t>
        </is>
      </c>
      <c r="I69" s="2" t="inlineStr">
        <is>
          <t>Já estava no gabinete antes de eu assumir a comissão</t>
        </is>
      </c>
    </row>
    <row r="70" ht="45" customHeight="1" s="79">
      <c r="A70" s="2" t="inlineStr">
        <is>
          <t>Processo</t>
        </is>
      </c>
      <c r="B70" s="4">
        <f>RIGHT(C70,4)</f>
        <v/>
      </c>
      <c r="C70" s="2" t="inlineStr">
        <is>
          <t>7837/2025</t>
        </is>
      </c>
      <c r="D70" s="2" t="inlineStr">
        <is>
          <t>ENCAMINHA DELIBERAÇÃO AGETRANSP 1377 DE 25/02/2025 REAJUSTE TARIFÁRIO ANUAL - 2025</t>
        </is>
      </c>
      <c r="E70" s="2" t="inlineStr">
        <is>
          <t>SECRETARIA DE TRANSPORTE E MOBILIDADE URBANA - SETRAM</t>
        </is>
      </c>
      <c r="F70" s="9" t="n"/>
      <c r="G70" s="9" t="n">
        <v>46093</v>
      </c>
      <c r="H70" s="12" t="inlineStr">
        <is>
          <t>Não</t>
        </is>
      </c>
      <c r="I70" s="2" t="inlineStr">
        <is>
          <t>Já estava no gabinete antes de eu assumir a comissão</t>
        </is>
      </c>
    </row>
    <row r="71" ht="45" customHeight="1" s="79">
      <c r="A71" s="2" t="inlineStr">
        <is>
          <t>Processo</t>
        </is>
      </c>
      <c r="B71" s="4">
        <f>RIGHT(C71,4)</f>
        <v/>
      </c>
      <c r="C71" s="2" t="inlineStr">
        <is>
          <t>12413/2024</t>
        </is>
      </c>
      <c r="D71" s="2" t="inlineStr">
        <is>
          <t>INFORMA DECISÃO DO CONSELHO DIRETOR DA AGETRANSP - CIÊNCIA DA DELIBERAÇÃO AGETRANSP/CD - 1457/224</t>
        </is>
      </c>
      <c r="E71" s="2" t="inlineStr">
        <is>
          <t>SECRETARIA DE TRANSPORTE E MOBILIDADE URBANA - SETRAM</t>
        </is>
      </c>
      <c r="F71" s="9" t="n"/>
      <c r="G71" s="9" t="n">
        <v>46093</v>
      </c>
      <c r="H71" s="12" t="inlineStr">
        <is>
          <t>Não</t>
        </is>
      </c>
      <c r="I71" s="2" t="inlineStr">
        <is>
          <t>Já estava no gabinete antes de eu assumir a comissão</t>
        </is>
      </c>
    </row>
    <row r="72" ht="45" customHeight="1" s="79">
      <c r="A72" s="2" t="inlineStr">
        <is>
          <t>Processo</t>
        </is>
      </c>
      <c r="B72" s="4">
        <f>RIGHT(C72,4)</f>
        <v/>
      </c>
      <c r="C72" s="2" t="inlineStr">
        <is>
          <t>12412/2024</t>
        </is>
      </c>
      <c r="D72" s="2" t="inlineStr">
        <is>
          <t>INFORMA DECISÃO DO CONSELHO DIRETOR DA AGETRANSP - CIÊNCIA DA DELIBERAÇÃO AGETRANSP/CD - 1456/2024</t>
        </is>
      </c>
      <c r="E72" s="2" t="inlineStr">
        <is>
          <t>SECRETARIA DE TRANSPORTE E MOBILIDADE URBANA - SETRAM</t>
        </is>
      </c>
      <c r="F72" s="9" t="n"/>
      <c r="G72" s="9" t="n">
        <v>46093</v>
      </c>
      <c r="H72" s="12" t="inlineStr">
        <is>
          <t>Não</t>
        </is>
      </c>
      <c r="I72" s="2" t="inlineStr">
        <is>
          <t>Já estava no gabinete antes de eu assumir a comissão</t>
        </is>
      </c>
    </row>
    <row r="73" ht="30" customHeight="1" s="79">
      <c r="A73" s="2" t="inlineStr">
        <is>
          <t>Processo</t>
        </is>
      </c>
      <c r="B73" s="4">
        <f>RIGHT(C73,4)</f>
        <v/>
      </c>
      <c r="C73" s="2" t="inlineStr">
        <is>
          <t>1938/2024</t>
        </is>
      </c>
      <c r="D73" s="2" t="inlineStr">
        <is>
          <t>PROCESSO TCE-RJ N. 116.679-6/23</t>
        </is>
      </c>
      <c r="E73" s="2" t="inlineStr">
        <is>
          <t>LUIGI ALBERTO MENESES DA SILVA - MAJOR PMERJ RR</t>
        </is>
      </c>
      <c r="F73" s="9" t="n"/>
      <c r="G73" s="9" t="n">
        <v>46093</v>
      </c>
      <c r="H73" s="12" t="inlineStr">
        <is>
          <t>Não</t>
        </is>
      </c>
      <c r="I73" s="2" t="inlineStr">
        <is>
          <t>Já estava no gabinete antes de eu assumir a comissão</t>
        </is>
      </c>
    </row>
    <row r="74" ht="45" customHeight="1" s="79">
      <c r="A74" s="2" t="inlineStr">
        <is>
          <t>Processo</t>
        </is>
      </c>
      <c r="B74" s="4">
        <f>RIGHT(C74,4)</f>
        <v/>
      </c>
      <c r="C74" s="2" t="inlineStr">
        <is>
          <t>2044/2025</t>
        </is>
      </c>
      <c r="D74" s="2" t="inlineStr">
        <is>
          <t>DECLARA ESTADO DE EMERGÊNCIA EM SAÚDE PÚBLICA NO AMBITO DA ADMINISTRAÇÃO PÚBLICA DA CIDADE DE RIO DAS OSTRAS</t>
        </is>
      </c>
      <c r="E74" s="2" t="inlineStr">
        <is>
          <t>MUNICÍPIO DE RIO DAS OSTRAS - GABINETE DO PREFEITO</t>
        </is>
      </c>
      <c r="F74" s="9" t="n"/>
      <c r="G74" s="9" t="n">
        <v>46097</v>
      </c>
      <c r="H74" s="12" t="inlineStr">
        <is>
          <t>Não</t>
        </is>
      </c>
      <c r="I74" s="2" t="inlineStr">
        <is>
          <t>Já estava no gabinete antes de eu assumir a comissão</t>
        </is>
      </c>
    </row>
    <row r="75" ht="60" customHeight="1" s="79">
      <c r="A75" s="2" t="inlineStr">
        <is>
          <t>Processo</t>
        </is>
      </c>
      <c r="B75" s="4">
        <f>RIGHT(C75,4)</f>
        <v/>
      </c>
      <c r="C75" s="2" t="inlineStr">
        <is>
          <t>1340/2024</t>
        </is>
      </c>
      <c r="D75" s="2" t="inlineStr">
        <is>
          <t>ENCAMINHA PROPOSTA DELIBERADAS NO FORUM MULTITERRITORIAL PLANEJAMENTO URBANO SOBRE IMPACTOS SOCIOESPACIAIS DE INDUSTRIA DE PETRÓLEO</t>
        </is>
      </c>
      <c r="E75" s="2" t="inlineStr">
        <is>
          <t>ASSOCIAÇÃO RAIZES</t>
        </is>
      </c>
      <c r="F75" s="9" t="n"/>
      <c r="G75" s="9" t="n">
        <v>46097</v>
      </c>
      <c r="H75" s="12" t="inlineStr">
        <is>
          <t>Não</t>
        </is>
      </c>
      <c r="I75" s="2" t="inlineStr">
        <is>
          <t>Já estava no gabinete antes de eu assumir a comissão</t>
        </is>
      </c>
    </row>
    <row r="76" ht="45" customHeight="1" s="79">
      <c r="A76" s="2" t="inlineStr">
        <is>
          <t>Processo</t>
        </is>
      </c>
      <c r="B76" s="4">
        <f>RIGHT(C76,4)</f>
        <v/>
      </c>
      <c r="C76" s="2" t="inlineStr">
        <is>
          <t>17965/2023</t>
        </is>
      </c>
      <c r="D76" s="2" t="inlineStr">
        <is>
          <t>RESSARCIMENTO REFERENTE AOS MESES JANEIRO A ABRIL/2023</t>
        </is>
      </c>
      <c r="E76" s="2" t="inlineStr">
        <is>
          <t>SECRETARIA DE ESTADO DE TRANSPORTE E MOBILIDADE URBANA</t>
        </is>
      </c>
      <c r="F76" s="9" t="n"/>
      <c r="G76" s="9" t="n">
        <v>46097</v>
      </c>
      <c r="H76" s="12" t="inlineStr">
        <is>
          <t>Não</t>
        </is>
      </c>
      <c r="I76" s="2" t="inlineStr">
        <is>
          <t>Já estava no gabinete antes de eu assumir a comissão</t>
        </is>
      </c>
    </row>
    <row r="77" ht="45" customHeight="1" s="79">
      <c r="A77" s="2" t="inlineStr">
        <is>
          <t>Processo</t>
        </is>
      </c>
      <c r="B77" s="4">
        <f>RIGHT(C77,4)</f>
        <v/>
      </c>
      <c r="C77" s="2" t="inlineStr">
        <is>
          <t>14592/2023</t>
        </is>
      </c>
      <c r="D77" s="2" t="inlineStr">
        <is>
          <t>RELATÓRIO DE ATIVIDADES DESTE TRIBUNAL, BEM COMO OS DOCUMENTOS ATINENTES AS PRESTAÇÕES DE CONTAS, RELATIVAS AO EXERCÍCIO DE 2022.</t>
        </is>
      </c>
      <c r="E77" s="2" t="inlineStr">
        <is>
          <t>TRIBUBAL DE CONTAS DO ESTADO</t>
        </is>
      </c>
      <c r="F77" s="9" t="n"/>
      <c r="G77" s="4" t="n"/>
      <c r="H77" s="4" t="inlineStr">
        <is>
          <t>Sim</t>
        </is>
      </c>
      <c r="I77" s="13" t="n"/>
    </row>
    <row r="78" ht="30" customHeight="1" s="79">
      <c r="A78" s="2" t="inlineStr">
        <is>
          <t>Processo</t>
        </is>
      </c>
      <c r="B78" s="4" t="n"/>
      <c r="C78" s="2" t="inlineStr">
        <is>
          <t>13606/2024</t>
        </is>
      </c>
      <c r="D78" s="2" t="inlineStr">
        <is>
          <t>PEDIDO DE AUDIÊNCIA PUBLICA</t>
        </is>
      </c>
      <c r="E78" s="2" t="n"/>
      <c r="F78" s="9" t="n"/>
      <c r="G78" s="9" t="n">
        <v>46097</v>
      </c>
      <c r="H78" s="12" t="inlineStr">
        <is>
          <t>Não</t>
        </is>
      </c>
      <c r="I78" s="2" t="inlineStr">
        <is>
          <t>Processos antigos de audiencias e foram despachados para arquivo</t>
        </is>
      </c>
    </row>
    <row r="79" ht="30" customHeight="1" s="79">
      <c r="A79" s="2" t="inlineStr">
        <is>
          <t>Processo</t>
        </is>
      </c>
      <c r="B79" s="4" t="n"/>
      <c r="C79" s="2" t="inlineStr">
        <is>
          <t>14174/2023</t>
        </is>
      </c>
      <c r="D79" s="2" t="inlineStr">
        <is>
          <t>PEDIDO DE AUDIÊNCIA PUBLICA</t>
        </is>
      </c>
      <c r="E79" s="2" t="n"/>
      <c r="F79" s="9" t="n"/>
      <c r="G79" s="9" t="n">
        <v>46097</v>
      </c>
      <c r="H79" s="12" t="inlineStr">
        <is>
          <t>Não</t>
        </is>
      </c>
      <c r="I79" s="2" t="inlineStr">
        <is>
          <t>Processos antigos de audiencias e foram despachados para arquivo</t>
        </is>
      </c>
    </row>
    <row r="80" ht="30" customHeight="1" s="79">
      <c r="A80" s="2" t="inlineStr">
        <is>
          <t>Processo</t>
        </is>
      </c>
      <c r="B80" s="4" t="n"/>
      <c r="C80" s="2" t="inlineStr">
        <is>
          <t>14175/2023</t>
        </is>
      </c>
      <c r="D80" s="2" t="inlineStr">
        <is>
          <t>PEDIDO DE AUDIÊNCIA PUBLICA</t>
        </is>
      </c>
      <c r="E80" s="2" t="n"/>
      <c r="F80" s="9" t="n"/>
      <c r="G80" s="9" t="n">
        <v>46097</v>
      </c>
      <c r="H80" s="12" t="inlineStr">
        <is>
          <t>Não</t>
        </is>
      </c>
      <c r="I80" s="2" t="inlineStr">
        <is>
          <t>Processos antigos de audiencias e foram despachados para arquivo</t>
        </is>
      </c>
    </row>
    <row r="81" ht="30" customHeight="1" s="79">
      <c r="A81" s="2" t="inlineStr">
        <is>
          <t>Processo</t>
        </is>
      </c>
      <c r="B81" s="4" t="n"/>
      <c r="C81" s="2" t="inlineStr">
        <is>
          <t>20836/2023</t>
        </is>
      </c>
      <c r="D81" s="2" t="inlineStr">
        <is>
          <t>PEDIDO DE AUDIÊNCIA PUBLICA</t>
        </is>
      </c>
      <c r="E81" s="2" t="n"/>
      <c r="F81" s="9" t="n"/>
      <c r="G81" s="9" t="n">
        <v>46097</v>
      </c>
      <c r="H81" s="12" t="inlineStr">
        <is>
          <t>Não</t>
        </is>
      </c>
      <c r="I81" s="2" t="inlineStr">
        <is>
          <t>Processos antigos de audiencias e foram despachados para arquivo</t>
        </is>
      </c>
    </row>
    <row r="82" ht="30" customHeight="1" s="79">
      <c r="A82" s="2" t="inlineStr">
        <is>
          <t>Processo</t>
        </is>
      </c>
      <c r="B82" s="4" t="n"/>
      <c r="C82" s="2" t="inlineStr">
        <is>
          <t>19585/2023</t>
        </is>
      </c>
      <c r="D82" s="2" t="inlineStr">
        <is>
          <t>PEDIDO DE AUDIÊNCIA PUBLICA</t>
        </is>
      </c>
      <c r="E82" s="2" t="n"/>
      <c r="F82" s="9" t="n"/>
      <c r="G82" s="9" t="n">
        <v>46097</v>
      </c>
      <c r="H82" s="12" t="inlineStr">
        <is>
          <t>Não</t>
        </is>
      </c>
      <c r="I82" s="2" t="inlineStr">
        <is>
          <t>Processos antigos de audiencias e foram despachados para arquivo</t>
        </is>
      </c>
    </row>
    <row r="83" ht="30" customHeight="1" s="79">
      <c r="A83" s="2" t="inlineStr">
        <is>
          <t>Processo</t>
        </is>
      </c>
      <c r="B83" s="4" t="n"/>
      <c r="C83" s="2" t="inlineStr">
        <is>
          <t>14121/2025</t>
        </is>
      </c>
      <c r="D83" s="2" t="inlineStr">
        <is>
          <t>PEDIDO DE AUDIÊNCIA PUBLICA</t>
        </is>
      </c>
      <c r="E83" s="2" t="n"/>
      <c r="F83" s="9" t="n"/>
      <c r="G83" s="9" t="n">
        <v>46097</v>
      </c>
      <c r="H83" s="12" t="inlineStr">
        <is>
          <t>Não</t>
        </is>
      </c>
      <c r="I83" s="2" t="inlineStr">
        <is>
          <t>Processos antigos de audiencias e foram despachados para arquivo</t>
        </is>
      </c>
    </row>
    <row r="84" ht="30" customHeight="1" s="79">
      <c r="A84" s="2" t="inlineStr">
        <is>
          <t>Processo</t>
        </is>
      </c>
      <c r="B84" s="4" t="n"/>
      <c r="C84" s="53" t="inlineStr">
        <is>
          <t>16894/2025</t>
        </is>
      </c>
      <c r="D84" s="2" t="inlineStr">
        <is>
          <t>PEDIDO DE AUDIÊNCIA PUBLICA</t>
        </is>
      </c>
      <c r="E84" s="2" t="n"/>
      <c r="F84" s="9" t="n"/>
      <c r="G84" s="9" t="n">
        <v>46097</v>
      </c>
      <c r="H84" s="12" t="inlineStr">
        <is>
          <t>Não</t>
        </is>
      </c>
      <c r="I84" s="2" t="inlineStr">
        <is>
          <t>Processos antigos de audiencias e foram despachados para arquivo</t>
        </is>
      </c>
    </row>
    <row r="85" ht="30" customHeight="1" s="79">
      <c r="A85" s="2" t="inlineStr">
        <is>
          <t>Processo</t>
        </is>
      </c>
      <c r="B85" s="4" t="n"/>
      <c r="C85" s="2" t="inlineStr">
        <is>
          <t>4943/2024</t>
        </is>
      </c>
      <c r="D85" s="2" t="inlineStr">
        <is>
          <t>PEDIDO DE AUDIÊNCIA PUBLICA</t>
        </is>
      </c>
      <c r="E85" s="2" t="n"/>
      <c r="F85" s="9" t="n"/>
      <c r="G85" s="9" t="n">
        <v>46097</v>
      </c>
      <c r="H85" s="12" t="inlineStr">
        <is>
          <t>Não</t>
        </is>
      </c>
      <c r="I85" s="2" t="inlineStr">
        <is>
          <t>Processos antigos de audiencias e foram despachados para arquivo</t>
        </is>
      </c>
    </row>
    <row r="86" ht="30" customHeight="1" s="79">
      <c r="A86" s="2" t="inlineStr">
        <is>
          <t>Processo</t>
        </is>
      </c>
      <c r="B86" s="4" t="n"/>
      <c r="C86" s="2" t="inlineStr">
        <is>
          <t>18143/2025</t>
        </is>
      </c>
      <c r="D86" s="2" t="inlineStr">
        <is>
          <t>PEDIDO DE AUDIÊNCIA PUBLICA</t>
        </is>
      </c>
      <c r="E86" s="2" t="n"/>
      <c r="F86" s="9" t="n"/>
      <c r="G86" s="9" t="n">
        <v>46097</v>
      </c>
      <c r="H86" s="12" t="inlineStr">
        <is>
          <t>Não</t>
        </is>
      </c>
      <c r="I86" s="2" t="inlineStr">
        <is>
          <t>Processos antigos de audiencias e foram despachados para arquivo</t>
        </is>
      </c>
    </row>
    <row r="87" ht="30" customHeight="1" s="79">
      <c r="A87" s="2" t="inlineStr">
        <is>
          <t>Processo</t>
        </is>
      </c>
      <c r="B87" s="4" t="n"/>
      <c r="C87" s="2" t="inlineStr">
        <is>
          <t>7773/2025</t>
        </is>
      </c>
      <c r="D87" s="2" t="inlineStr">
        <is>
          <t>PEDIDO DE AUDIÊNCIA PUBLICA</t>
        </is>
      </c>
      <c r="E87" s="2" t="n"/>
      <c r="F87" s="9" t="n"/>
      <c r="G87" s="9" t="n">
        <v>46097</v>
      </c>
      <c r="H87" s="12" t="inlineStr">
        <is>
          <t>Não</t>
        </is>
      </c>
      <c r="I87" s="2" t="inlineStr">
        <is>
          <t>Processos antigos de audiencias e foram despachados para arquivo</t>
        </is>
      </c>
    </row>
    <row r="88" ht="30" customHeight="1" s="79">
      <c r="A88" s="2" t="inlineStr">
        <is>
          <t>Processo</t>
        </is>
      </c>
      <c r="B88" s="4" t="n"/>
      <c r="C88" s="2" t="inlineStr">
        <is>
          <t>7774/2025</t>
        </is>
      </c>
      <c r="D88" s="2" t="inlineStr">
        <is>
          <t>PEDIDO DE AUDIÊNCIA PUBLICA</t>
        </is>
      </c>
      <c r="E88" s="2" t="n"/>
      <c r="F88" s="9" t="n"/>
      <c r="G88" s="9" t="n">
        <v>46097</v>
      </c>
      <c r="H88" s="12" t="inlineStr">
        <is>
          <t>Não</t>
        </is>
      </c>
      <c r="I88" s="2" t="inlineStr">
        <is>
          <t>Processos antigos de audiencias e foram despachados para arquivo</t>
        </is>
      </c>
    </row>
    <row r="89" ht="30" customHeight="1" s="79">
      <c r="A89" s="2" t="inlineStr">
        <is>
          <t>Processo</t>
        </is>
      </c>
      <c r="B89" s="4" t="n"/>
      <c r="C89" s="2" t="inlineStr">
        <is>
          <t>3417/2025</t>
        </is>
      </c>
      <c r="D89" s="2" t="inlineStr">
        <is>
          <t>PEDIDO DE AUDIÊNCIA PUBLICA</t>
        </is>
      </c>
      <c r="E89" s="2" t="n"/>
      <c r="F89" s="9" t="n"/>
      <c r="G89" s="9" t="n">
        <v>46097</v>
      </c>
      <c r="H89" s="12" t="inlineStr">
        <is>
          <t>Não</t>
        </is>
      </c>
      <c r="I89" s="2" t="inlineStr">
        <is>
          <t>Processos antigos de audiencias e foram despachados para arquivo</t>
        </is>
      </c>
    </row>
    <row r="90" ht="30" customHeight="1" s="79">
      <c r="A90" s="2" t="inlineStr">
        <is>
          <t>Processo</t>
        </is>
      </c>
      <c r="B90" s="4" t="n"/>
      <c r="C90" s="2" t="inlineStr">
        <is>
          <t>3418/2025</t>
        </is>
      </c>
      <c r="D90" s="2" t="inlineStr">
        <is>
          <t>PEDIDO DE AUDIÊNCIA PUBLICA</t>
        </is>
      </c>
      <c r="E90" s="2" t="n"/>
      <c r="F90" s="9" t="n"/>
      <c r="G90" s="9" t="n">
        <v>46097</v>
      </c>
      <c r="H90" s="12" t="inlineStr">
        <is>
          <t>Não</t>
        </is>
      </c>
      <c r="I90" s="2" t="inlineStr">
        <is>
          <t>Processos antigos de audiencias e foram despachados para arquivo</t>
        </is>
      </c>
    </row>
    <row r="91" ht="30" customHeight="1" s="79">
      <c r="A91" s="2" t="inlineStr">
        <is>
          <t>Processo</t>
        </is>
      </c>
      <c r="B91" s="4" t="n"/>
      <c r="C91" s="2" t="inlineStr">
        <is>
          <t>4944/2024</t>
        </is>
      </c>
      <c r="D91" s="2" t="inlineStr">
        <is>
          <t>PEDIDO DE AUDIÊNCIA PUBLICA</t>
        </is>
      </c>
      <c r="E91" s="2" t="n"/>
      <c r="F91" s="9" t="n"/>
      <c r="G91" s="9" t="n">
        <v>46097</v>
      </c>
      <c r="H91" s="12" t="inlineStr">
        <is>
          <t>Não</t>
        </is>
      </c>
      <c r="I91" s="2" t="inlineStr">
        <is>
          <t>Processos antigos de audiencias e foram despachados para arquivo</t>
        </is>
      </c>
    </row>
    <row r="92" ht="30" customHeight="1" s="79">
      <c r="A92" s="2" t="inlineStr">
        <is>
          <t>Processo</t>
        </is>
      </c>
      <c r="B92" s="4" t="n"/>
      <c r="C92" s="2" t="inlineStr">
        <is>
          <t>16127/2022</t>
        </is>
      </c>
      <c r="D92" s="2" t="inlineStr">
        <is>
          <t>PEDIDO DE AUDIÊNCIA PUBLICA</t>
        </is>
      </c>
      <c r="E92" s="2" t="n"/>
      <c r="F92" s="9" t="n"/>
      <c r="G92" s="9" t="n">
        <v>46097</v>
      </c>
      <c r="H92" s="12" t="inlineStr">
        <is>
          <t>Não</t>
        </is>
      </c>
      <c r="I92" s="2" t="inlineStr">
        <is>
          <t>Processos antigos de audiencias e foram despachados para arquivo</t>
        </is>
      </c>
    </row>
    <row r="93" ht="30" customHeight="1" s="79">
      <c r="A93" s="2" t="inlineStr">
        <is>
          <t>Processo</t>
        </is>
      </c>
      <c r="B93" s="4" t="n"/>
      <c r="C93" s="2" t="inlineStr">
        <is>
          <t>16402/2023</t>
        </is>
      </c>
      <c r="D93" s="2" t="inlineStr">
        <is>
          <t>PEDIDO DE AUDIÊNCIA PUBLICA</t>
        </is>
      </c>
      <c r="E93" s="2" t="n"/>
      <c r="F93" s="9" t="n"/>
      <c r="G93" s="9" t="n">
        <v>46097</v>
      </c>
      <c r="H93" s="12" t="inlineStr">
        <is>
          <t>Não</t>
        </is>
      </c>
      <c r="I93" s="2" t="inlineStr">
        <is>
          <t>Processos antigos de audiencias e foram despachados para arquivo</t>
        </is>
      </c>
    </row>
    <row r="94" ht="30" customHeight="1" s="79">
      <c r="A94" s="2" t="inlineStr">
        <is>
          <t>Processo</t>
        </is>
      </c>
      <c r="B94" s="4" t="n"/>
      <c r="C94" s="2" t="inlineStr">
        <is>
          <t>15932/2023</t>
        </is>
      </c>
      <c r="D94" s="2" t="inlineStr">
        <is>
          <t>PEDIDO DE AUDIÊNCIA PUBLICA</t>
        </is>
      </c>
      <c r="E94" s="2" t="n"/>
      <c r="F94" s="9" t="n"/>
      <c r="G94" s="9" t="n">
        <v>46097</v>
      </c>
      <c r="H94" s="12" t="inlineStr">
        <is>
          <t>Não</t>
        </is>
      </c>
      <c r="I94" s="2" t="inlineStr">
        <is>
          <t>Processos antigos de audiencias e foram despachados para arquivo</t>
        </is>
      </c>
    </row>
    <row r="95" ht="30" customHeight="1" s="79">
      <c r="A95" s="2" t="inlineStr">
        <is>
          <t>Processo</t>
        </is>
      </c>
      <c r="B95" s="4" t="n"/>
      <c r="C95" s="2" t="inlineStr">
        <is>
          <t>10647/2024</t>
        </is>
      </c>
      <c r="D95" s="2" t="inlineStr">
        <is>
          <t>PEDIDO DE AUDIÊNCIA PUBLICA</t>
        </is>
      </c>
      <c r="E95" s="2" t="n"/>
      <c r="F95" s="9" t="n"/>
      <c r="G95" s="9" t="n">
        <v>46097</v>
      </c>
      <c r="H95" s="12" t="inlineStr">
        <is>
          <t>Não</t>
        </is>
      </c>
      <c r="I95" s="2" t="inlineStr">
        <is>
          <t>Processos antigos de audiencias e foram despachados para arquivo</t>
        </is>
      </c>
    </row>
    <row r="96" ht="30" customHeight="1" s="79">
      <c r="A96" s="2" t="inlineStr">
        <is>
          <t>Processo</t>
        </is>
      </c>
      <c r="B96" s="4" t="n"/>
      <c r="C96" s="2" t="inlineStr">
        <is>
          <t>13605/2024</t>
        </is>
      </c>
      <c r="D96" s="2" t="inlineStr">
        <is>
          <t>PEDIDO DE AUDIÊNCIA PUBLICA</t>
        </is>
      </c>
      <c r="E96" s="2" t="n"/>
      <c r="F96" s="9" t="n"/>
      <c r="G96" s="9" t="n">
        <v>46097</v>
      </c>
      <c r="H96" s="12" t="inlineStr">
        <is>
          <t>Não</t>
        </is>
      </c>
      <c r="I96" s="2" t="inlineStr">
        <is>
          <t>Processos antigos de audiencias e foram despachados para arquivo</t>
        </is>
      </c>
    </row>
    <row r="97" ht="30" customHeight="1" s="79">
      <c r="A97" s="2" t="inlineStr">
        <is>
          <t>Processo</t>
        </is>
      </c>
      <c r="B97" s="4" t="n"/>
      <c r="C97" s="2" t="inlineStr">
        <is>
          <t>13606/2024</t>
        </is>
      </c>
      <c r="D97" s="2" t="inlineStr">
        <is>
          <t>PEDIDO DE AUDIÊNCIA PUBLICA</t>
        </is>
      </c>
      <c r="E97" s="2" t="n"/>
      <c r="F97" s="9" t="n"/>
      <c r="G97" s="9" t="n">
        <v>46097</v>
      </c>
      <c r="H97" s="12" t="inlineStr">
        <is>
          <t>Não</t>
        </is>
      </c>
      <c r="I97" s="2" t="inlineStr">
        <is>
          <t>Processos antigos de audiencias e foram despachados para arquivo</t>
        </is>
      </c>
    </row>
    <row r="98" ht="30" customHeight="1" s="79">
      <c r="A98" s="2" t="inlineStr">
        <is>
          <t>Processo</t>
        </is>
      </c>
      <c r="B98" s="4" t="n"/>
      <c r="C98" s="2" t="inlineStr">
        <is>
          <t>10645/2024</t>
        </is>
      </c>
      <c r="D98" s="2" t="inlineStr">
        <is>
          <t>PEDIDO DE AUDIÊNCIA PUBLICA</t>
        </is>
      </c>
      <c r="E98" s="2" t="n"/>
      <c r="F98" s="9" t="n"/>
      <c r="G98" s="9" t="n">
        <v>46097</v>
      </c>
      <c r="H98" s="12" t="inlineStr">
        <is>
          <t>Não</t>
        </is>
      </c>
      <c r="I98" s="2" t="inlineStr">
        <is>
          <t>Processos antigos de audiencias e foram despachados para arquivo</t>
        </is>
      </c>
    </row>
    <row r="99" ht="30" customHeight="1" s="79">
      <c r="A99" s="2" t="inlineStr">
        <is>
          <t>Processo</t>
        </is>
      </c>
      <c r="B99" s="4" t="n"/>
      <c r="C99" s="2" t="inlineStr">
        <is>
          <t>10646/2024</t>
        </is>
      </c>
      <c r="D99" s="2" t="inlineStr">
        <is>
          <t>PEDIDO DE AUDIÊNCIA PUBLICA</t>
        </is>
      </c>
      <c r="E99" s="2" t="n"/>
      <c r="F99" s="9" t="n"/>
      <c r="G99" s="9" t="n">
        <v>46097</v>
      </c>
      <c r="H99" s="12" t="inlineStr">
        <is>
          <t>Não</t>
        </is>
      </c>
      <c r="I99" s="2" t="inlineStr">
        <is>
          <t>Processos antigos de audiencias e foram despachados para arquivo</t>
        </is>
      </c>
    </row>
    <row r="100" ht="30" customHeight="1" s="79">
      <c r="A100" s="2" t="inlineStr">
        <is>
          <t>Processo</t>
        </is>
      </c>
      <c r="B100" s="4" t="n"/>
      <c r="C100" s="2" t="inlineStr">
        <is>
          <t>10727/2024</t>
        </is>
      </c>
      <c r="D100" s="2" t="inlineStr">
        <is>
          <t>PEDIDO DE AUDIÊNCIA PUBLICA</t>
        </is>
      </c>
      <c r="E100" s="2" t="n"/>
      <c r="F100" s="9" t="n"/>
      <c r="G100" s="9" t="n">
        <v>46097</v>
      </c>
      <c r="H100" s="12" t="inlineStr">
        <is>
          <t>Não</t>
        </is>
      </c>
      <c r="I100" s="2" t="inlineStr">
        <is>
          <t>Processos antigos de audiencias e foram despachados para arquivo</t>
        </is>
      </c>
    </row>
    <row r="101" ht="30" customHeight="1" s="79">
      <c r="A101" s="2" t="inlineStr">
        <is>
          <t>Processo</t>
        </is>
      </c>
      <c r="B101" s="4" t="n"/>
      <c r="C101" s="2" t="inlineStr">
        <is>
          <t>10729/2024</t>
        </is>
      </c>
      <c r="D101" s="2" t="inlineStr">
        <is>
          <t>PEDIDO DE AUDIÊNCIA PUBLICA</t>
        </is>
      </c>
      <c r="E101" s="2" t="n"/>
      <c r="F101" s="9" t="n"/>
      <c r="G101" s="9" t="n">
        <v>46097</v>
      </c>
      <c r="H101" s="12" t="inlineStr">
        <is>
          <t>Não</t>
        </is>
      </c>
      <c r="I101" s="2" t="inlineStr">
        <is>
          <t>Processos antigos de audiencias e foram despachados para arquivo</t>
        </is>
      </c>
    </row>
    <row r="102" ht="30" customHeight="1" s="79">
      <c r="A102" s="2" t="inlineStr">
        <is>
          <t>Processo</t>
        </is>
      </c>
      <c r="B102" s="4" t="n"/>
      <c r="C102" s="2" t="inlineStr">
        <is>
          <t>10728/2024</t>
        </is>
      </c>
      <c r="D102" s="2" t="inlineStr">
        <is>
          <t>PEDIDO DE AUDIÊNCIA PUBLICA</t>
        </is>
      </c>
      <c r="E102" s="2" t="n"/>
      <c r="F102" s="9" t="n"/>
      <c r="G102" s="9" t="n">
        <v>46097</v>
      </c>
      <c r="H102" s="12" t="inlineStr">
        <is>
          <t>Não</t>
        </is>
      </c>
      <c r="I102" s="2" t="inlineStr">
        <is>
          <t>Processos antigos de audiencias e foram despachados para arquivo</t>
        </is>
      </c>
    </row>
    <row r="103">
      <c r="A103" s="2" t="inlineStr">
        <is>
          <t>Processo</t>
        </is>
      </c>
      <c r="B103" s="4" t="n"/>
      <c r="C103" s="20" t="n"/>
      <c r="D103" s="2" t="n"/>
      <c r="E103" s="2" t="n"/>
      <c r="F103" s="9" t="n"/>
      <c r="G103" s="4" t="n"/>
      <c r="H103" s="12" t="n"/>
      <c r="I103" s="2" t="n"/>
    </row>
    <row r="104">
      <c r="A104" s="2" t="inlineStr">
        <is>
          <t>Processo</t>
        </is>
      </c>
      <c r="B104" s="4" t="n"/>
      <c r="C104" s="20" t="n"/>
      <c r="D104" s="2" t="n"/>
      <c r="E104" s="2" t="n"/>
      <c r="F104" s="9" t="n"/>
      <c r="G104" s="4" t="n"/>
      <c r="H104" s="12" t="n"/>
      <c r="I104" s="2" t="n"/>
    </row>
    <row r="105">
      <c r="A105" s="2" t="inlineStr">
        <is>
          <t>Processo</t>
        </is>
      </c>
      <c r="B105" s="4" t="n"/>
      <c r="C105" s="20" t="n"/>
      <c r="D105" s="2" t="n"/>
      <c r="E105" s="2" t="n"/>
      <c r="F105" s="9" t="n"/>
      <c r="G105" s="4" t="n"/>
      <c r="H105" s="12" t="n"/>
      <c r="I105" s="2" t="n"/>
    </row>
    <row r="106">
      <c r="A106" s="2" t="inlineStr">
        <is>
          <t>Processo</t>
        </is>
      </c>
      <c r="B106" s="4" t="n"/>
      <c r="C106" s="20" t="n"/>
      <c r="D106" s="2" t="n"/>
      <c r="E106" s="2" t="n"/>
      <c r="F106" s="9" t="n"/>
      <c r="G106" s="4" t="n"/>
      <c r="H106" s="12" t="n"/>
      <c r="I106" s="2" t="n"/>
    </row>
    <row r="107">
      <c r="A107" s="2" t="inlineStr">
        <is>
          <t>Processo</t>
        </is>
      </c>
      <c r="B107" s="4" t="n"/>
      <c r="C107" s="20" t="n"/>
      <c r="D107" s="2" t="n"/>
      <c r="E107" s="2" t="n"/>
      <c r="F107" s="9" t="n"/>
      <c r="G107" s="4" t="n"/>
      <c r="H107" s="12" t="n"/>
      <c r="I107" s="2" t="n"/>
    </row>
    <row r="108">
      <c r="A108" s="2" t="inlineStr">
        <is>
          <t>Processo</t>
        </is>
      </c>
      <c r="B108" s="4" t="n"/>
      <c r="C108" s="20" t="n"/>
      <c r="D108" s="2" t="n"/>
      <c r="E108" s="2" t="n"/>
      <c r="F108" s="9" t="n"/>
      <c r="G108" s="4" t="n"/>
      <c r="H108" s="12" t="n"/>
      <c r="I108" s="2" t="n"/>
    </row>
    <row r="109">
      <c r="A109" s="2" t="inlineStr">
        <is>
          <t>Processo</t>
        </is>
      </c>
      <c r="B109" s="4" t="n"/>
      <c r="C109" s="20" t="n"/>
      <c r="D109" s="2" t="n"/>
      <c r="E109" s="2" t="n"/>
      <c r="F109" s="9" t="n"/>
      <c r="G109" s="4" t="n"/>
      <c r="H109" s="12" t="n"/>
      <c r="I109" s="2" t="n"/>
    </row>
    <row r="110">
      <c r="A110" s="2" t="inlineStr">
        <is>
          <t>Processo</t>
        </is>
      </c>
      <c r="B110" s="4" t="n"/>
      <c r="C110" s="20" t="n"/>
      <c r="D110" s="2" t="n"/>
      <c r="E110" s="2" t="n"/>
      <c r="F110" s="9" t="n"/>
      <c r="G110" s="4" t="n"/>
      <c r="H110" s="12" t="n"/>
      <c r="I110" s="2" t="n"/>
    </row>
    <row r="111">
      <c r="A111" s="2" t="inlineStr">
        <is>
          <t>Processo</t>
        </is>
      </c>
      <c r="B111" s="4" t="n"/>
      <c r="C111" s="2" t="n"/>
      <c r="D111" s="2" t="n"/>
      <c r="E111" s="2" t="n"/>
      <c r="F111" s="9" t="n"/>
      <c r="G111" s="4" t="n"/>
      <c r="H111" s="12" t="n"/>
      <c r="I111" s="2" t="n"/>
    </row>
    <row r="112">
      <c r="A112" s="2" t="inlineStr">
        <is>
          <t>Processo</t>
        </is>
      </c>
      <c r="B112" s="4" t="n"/>
      <c r="C112" s="2" t="n"/>
      <c r="D112" s="2" t="n"/>
      <c r="E112" s="2" t="n"/>
      <c r="F112" s="9" t="n"/>
      <c r="G112" s="4" t="n"/>
      <c r="H112" s="12" t="n"/>
      <c r="I112" s="2" t="n"/>
    </row>
    <row r="113">
      <c r="A113" s="2" t="inlineStr">
        <is>
          <t>Processo</t>
        </is>
      </c>
      <c r="B113" s="4" t="n"/>
      <c r="C113" s="2" t="n"/>
      <c r="D113" s="2" t="n"/>
      <c r="E113" s="2" t="n"/>
      <c r="F113" s="9" t="n"/>
      <c r="G113" s="4" t="n"/>
      <c r="H113" s="12" t="n"/>
      <c r="I113" s="2" t="n"/>
    </row>
    <row r="114">
      <c r="A114" s="2" t="inlineStr">
        <is>
          <t>Processo</t>
        </is>
      </c>
      <c r="B114" s="4" t="n"/>
      <c r="C114" s="2" t="n"/>
      <c r="D114" s="2" t="n"/>
      <c r="E114" s="2" t="n"/>
      <c r="F114" s="9" t="n"/>
      <c r="G114" s="4" t="n"/>
      <c r="H114" s="12" t="n"/>
      <c r="I114" s="2" t="n"/>
    </row>
    <row r="115">
      <c r="A115" s="2" t="inlineStr">
        <is>
          <t>Processo</t>
        </is>
      </c>
      <c r="B115" s="4" t="n"/>
      <c r="C115" s="2" t="n"/>
      <c r="D115" s="2" t="n"/>
      <c r="E115" s="2" t="n"/>
      <c r="F115" s="9" t="n"/>
      <c r="G115" s="4" t="n"/>
      <c r="H115" s="12" t="n"/>
      <c r="I115" s="2" t="n"/>
    </row>
    <row r="116">
      <c r="A116" s="2" t="inlineStr">
        <is>
          <t>Processo</t>
        </is>
      </c>
      <c r="B116" s="4" t="n"/>
      <c r="C116" s="2" t="n"/>
      <c r="D116" s="2" t="n"/>
      <c r="E116" s="2" t="n"/>
      <c r="F116" s="9" t="n"/>
      <c r="G116" s="4" t="n"/>
      <c r="H116" s="12" t="n"/>
      <c r="I116" s="2" t="n"/>
    </row>
    <row r="117">
      <c r="A117" s="2" t="inlineStr">
        <is>
          <t>Processo</t>
        </is>
      </c>
      <c r="B117" s="4" t="n"/>
      <c r="C117" s="2" t="n"/>
      <c r="D117" s="2" t="n"/>
      <c r="E117" s="2" t="n"/>
      <c r="F117" s="9" t="n"/>
      <c r="G117" s="4" t="n"/>
      <c r="H117" s="12" t="n"/>
      <c r="I117" s="2" t="n"/>
    </row>
    <row r="118">
      <c r="A118" s="2" t="inlineStr">
        <is>
          <t>Processo</t>
        </is>
      </c>
      <c r="B118" s="4" t="n"/>
      <c r="C118" s="2" t="n"/>
      <c r="D118" s="2" t="n"/>
      <c r="E118" s="2" t="n"/>
      <c r="F118" s="43" t="n"/>
      <c r="G118" s="4" t="n"/>
      <c r="H118" s="12" t="n"/>
      <c r="I118" s="2" t="n"/>
    </row>
    <row r="119">
      <c r="A119" s="2" t="inlineStr">
        <is>
          <t>Processo</t>
        </is>
      </c>
      <c r="B119" s="4" t="n"/>
      <c r="C119" s="2" t="n"/>
      <c r="D119" s="2" t="n"/>
      <c r="E119" s="2" t="n"/>
      <c r="F119" s="9" t="n"/>
      <c r="G119" s="4" t="n"/>
      <c r="H119" s="4" t="n"/>
      <c r="I119" s="13" t="n"/>
    </row>
    <row r="120">
      <c r="A120" s="2" t="inlineStr">
        <is>
          <t>Projeto Lei</t>
        </is>
      </c>
      <c r="B120" s="4" t="n"/>
      <c r="C120" s="2" t="n"/>
      <c r="D120" s="2" t="n"/>
      <c r="E120" s="2" t="n"/>
      <c r="F120" s="9" t="n"/>
      <c r="G120" s="4" t="n"/>
      <c r="H120" s="12" t="n"/>
      <c r="I120" s="2" t="n"/>
    </row>
    <row r="121">
      <c r="A121" s="2" t="inlineStr">
        <is>
          <t>Projeto Lei</t>
        </is>
      </c>
      <c r="B121" s="4" t="n"/>
      <c r="C121" s="2" t="n"/>
      <c r="D121" s="2" t="n"/>
      <c r="E121" s="2" t="n"/>
      <c r="F121" s="9" t="n"/>
      <c r="G121" s="4" t="n"/>
      <c r="H121" s="12" t="n"/>
      <c r="I121" s="2" t="n"/>
    </row>
    <row r="122">
      <c r="A122" s="2" t="inlineStr">
        <is>
          <t>Projeto Lei</t>
        </is>
      </c>
      <c r="B122" s="4" t="n"/>
      <c r="C122" s="2" t="n"/>
      <c r="D122" s="2" t="n"/>
      <c r="E122" s="2" t="n"/>
      <c r="F122" s="9" t="n"/>
      <c r="G122" s="4" t="n"/>
      <c r="H122" s="12" t="n"/>
      <c r="I122" s="2" t="n"/>
    </row>
    <row r="123">
      <c r="A123" s="2" t="inlineStr">
        <is>
          <t>Projeto Lei</t>
        </is>
      </c>
      <c r="B123" s="4" t="n"/>
      <c r="C123" s="2" t="n"/>
      <c r="D123" s="2" t="n"/>
      <c r="E123" s="2" t="n"/>
      <c r="F123" s="9" t="n"/>
      <c r="G123" s="4" t="n"/>
      <c r="H123" s="12" t="n"/>
      <c r="I123" s="2" t="n"/>
    </row>
    <row r="124">
      <c r="A124" s="2" t="inlineStr">
        <is>
          <t>Projeto Lei</t>
        </is>
      </c>
      <c r="B124" s="4" t="n"/>
      <c r="C124" s="2" t="n"/>
      <c r="D124" s="2" t="n"/>
      <c r="E124" s="2" t="n"/>
      <c r="F124" s="9" t="n"/>
      <c r="G124" s="4" t="n"/>
      <c r="H124" s="12" t="n"/>
      <c r="I124" s="2" t="n"/>
    </row>
    <row r="125">
      <c r="A125" s="2" t="inlineStr">
        <is>
          <t>Projeto Lei</t>
        </is>
      </c>
      <c r="B125" s="4" t="n"/>
      <c r="C125" s="2" t="n"/>
      <c r="D125" s="2" t="n"/>
      <c r="E125" s="2" t="n"/>
      <c r="F125" s="9" t="n"/>
      <c r="G125" s="4" t="n"/>
      <c r="H125" s="12" t="n"/>
      <c r="I125" s="2" t="n"/>
    </row>
    <row r="126">
      <c r="A126" s="2" t="inlineStr">
        <is>
          <t>Projeto Lei</t>
        </is>
      </c>
      <c r="B126" s="4" t="n"/>
      <c r="C126" s="2" t="n"/>
      <c r="D126" s="2" t="n"/>
      <c r="E126" s="2" t="n"/>
      <c r="F126" s="9" t="n"/>
      <c r="G126" s="4" t="n"/>
      <c r="H126" s="12" t="n"/>
      <c r="I126" s="2" t="n"/>
    </row>
    <row r="127">
      <c r="A127" s="2" t="inlineStr">
        <is>
          <t>Projeto Lei</t>
        </is>
      </c>
      <c r="B127" s="4" t="n"/>
      <c r="C127" s="2" t="n"/>
      <c r="D127" s="2" t="n"/>
      <c r="E127" s="2" t="n"/>
      <c r="F127" s="9" t="n"/>
      <c r="G127" s="4" t="n"/>
      <c r="H127" s="12" t="n"/>
      <c r="I127" s="2" t="n"/>
    </row>
    <row r="128">
      <c r="A128" s="2" t="inlineStr">
        <is>
          <t>Projeto Lei</t>
        </is>
      </c>
      <c r="B128" s="4" t="n"/>
      <c r="C128" s="2" t="n"/>
      <c r="D128" s="2" t="n"/>
      <c r="E128" s="2" t="n"/>
      <c r="F128" s="9" t="n"/>
      <c r="G128" s="4" t="n"/>
      <c r="H128" s="12" t="n"/>
      <c r="I128" s="2" t="n"/>
    </row>
    <row r="129">
      <c r="A129" s="2" t="inlineStr">
        <is>
          <t>Projeto Lei</t>
        </is>
      </c>
      <c r="B129" s="4" t="n"/>
      <c r="C129" s="2" t="n"/>
      <c r="D129" s="2" t="n"/>
      <c r="E129" s="2" t="n"/>
      <c r="F129" s="9" t="n"/>
      <c r="G129" s="4" t="n"/>
      <c r="H129" s="12" t="n"/>
      <c r="I129" s="2" t="n"/>
    </row>
    <row r="130">
      <c r="A130" s="2" t="inlineStr">
        <is>
          <t>Projeto Lei</t>
        </is>
      </c>
      <c r="B130" s="4" t="n"/>
      <c r="C130" s="2" t="n"/>
      <c r="D130" s="2" t="n"/>
      <c r="E130" s="2" t="n"/>
      <c r="F130" s="9" t="n"/>
      <c r="G130" s="4" t="n"/>
      <c r="H130" s="12" t="n"/>
      <c r="I130" s="2" t="n"/>
    </row>
    <row r="131">
      <c r="A131" s="2" t="inlineStr">
        <is>
          <t>Projeto Lei</t>
        </is>
      </c>
      <c r="B131" s="4" t="n"/>
      <c r="C131" s="2" t="n"/>
      <c r="D131" s="2" t="n"/>
      <c r="E131" s="2" t="n"/>
      <c r="F131" s="9" t="n"/>
      <c r="G131" s="4" t="n"/>
      <c r="H131" s="12" t="n"/>
      <c r="I131" s="2" t="n"/>
    </row>
    <row r="132">
      <c r="A132" s="2" t="inlineStr">
        <is>
          <t>Projeto Lei</t>
        </is>
      </c>
      <c r="B132" s="4" t="n"/>
      <c r="C132" s="2" t="n"/>
      <c r="D132" s="2" t="n"/>
      <c r="E132" s="2" t="n"/>
      <c r="F132" s="9" t="n"/>
      <c r="G132" s="4" t="n"/>
      <c r="H132" s="12" t="n"/>
      <c r="I132" s="2" t="n"/>
    </row>
    <row r="133">
      <c r="A133" s="2" t="inlineStr">
        <is>
          <t>Projeto Lei</t>
        </is>
      </c>
      <c r="B133" s="4" t="n"/>
      <c r="C133" s="2" t="n"/>
      <c r="D133" s="2" t="n"/>
      <c r="E133" s="2" t="n"/>
      <c r="F133" s="9" t="n"/>
      <c r="G133" s="4" t="n"/>
      <c r="H133" s="12" t="n"/>
      <c r="I133" s="2" t="n"/>
    </row>
    <row r="134">
      <c r="A134" s="2" t="inlineStr">
        <is>
          <t>Projeto Lei</t>
        </is>
      </c>
      <c r="B134" s="4" t="n"/>
      <c r="C134" s="2" t="n"/>
      <c r="D134" s="2" t="n"/>
      <c r="E134" s="2" t="n"/>
      <c r="F134" s="9" t="n"/>
      <c r="G134" s="4" t="n"/>
      <c r="H134" s="12" t="n"/>
      <c r="I134" s="2" t="n"/>
    </row>
    <row r="135">
      <c r="A135" s="2" t="inlineStr">
        <is>
          <t>Projeto Lei</t>
        </is>
      </c>
      <c r="B135" s="4" t="n"/>
      <c r="C135" s="2" t="n"/>
      <c r="D135" s="2" t="n"/>
      <c r="E135" s="2" t="n"/>
      <c r="F135" s="9" t="n"/>
      <c r="G135" s="4" t="n"/>
      <c r="H135" s="12" t="n"/>
      <c r="I135" s="2" t="n"/>
    </row>
    <row r="136">
      <c r="A136" s="2" t="inlineStr">
        <is>
          <t>Projeto Lei</t>
        </is>
      </c>
      <c r="B136" s="4" t="n"/>
      <c r="C136" s="2" t="n"/>
      <c r="D136" s="2" t="n"/>
      <c r="E136" s="2" t="n"/>
      <c r="F136" s="9" t="n"/>
      <c r="G136" s="4" t="n"/>
      <c r="H136" s="12" t="n"/>
      <c r="I136" s="2" t="n"/>
    </row>
    <row r="137">
      <c r="A137" s="2" t="inlineStr">
        <is>
          <t>Projeto Lei</t>
        </is>
      </c>
      <c r="B137" s="4" t="n"/>
      <c r="C137" s="2" t="n"/>
      <c r="D137" s="2" t="n"/>
      <c r="E137" s="2" t="n"/>
      <c r="F137" s="9" t="n"/>
      <c r="G137" s="4" t="n"/>
      <c r="H137" s="12" t="n"/>
      <c r="I137" s="2" t="n"/>
    </row>
    <row r="138">
      <c r="A138" s="2" t="inlineStr">
        <is>
          <t>Projeto Lei</t>
        </is>
      </c>
      <c r="B138" s="4" t="n"/>
      <c r="C138" s="2" t="n"/>
      <c r="D138" s="2" t="n"/>
      <c r="E138" s="2" t="n"/>
      <c r="F138" s="9" t="n"/>
      <c r="G138" s="4" t="n"/>
      <c r="H138" s="12" t="n"/>
      <c r="I138" s="2" t="n"/>
    </row>
    <row r="139">
      <c r="A139" s="2" t="inlineStr">
        <is>
          <t>Projeto Lei</t>
        </is>
      </c>
      <c r="B139" s="4" t="n"/>
      <c r="C139" s="2" t="n"/>
      <c r="D139" s="2" t="n"/>
      <c r="E139" s="2" t="n"/>
      <c r="F139" s="9" t="n"/>
      <c r="G139" s="4" t="n"/>
      <c r="H139" s="12" t="n"/>
      <c r="I139" s="2" t="n"/>
    </row>
    <row r="140">
      <c r="A140" s="2" t="inlineStr">
        <is>
          <t>Projeto Lei</t>
        </is>
      </c>
      <c r="B140" s="4" t="n"/>
      <c r="C140" s="2" t="n"/>
      <c r="D140" s="2" t="n"/>
      <c r="E140" s="2" t="n"/>
      <c r="F140" s="9" t="n"/>
      <c r="G140" s="4" t="n"/>
      <c r="H140" s="12" t="n"/>
      <c r="I140" s="2" t="n"/>
    </row>
    <row r="141">
      <c r="A141" s="2" t="inlineStr">
        <is>
          <t>Projeto Lei</t>
        </is>
      </c>
      <c r="B141" s="4" t="n"/>
      <c r="C141" s="2" t="n"/>
      <c r="D141" s="2" t="n"/>
      <c r="E141" s="2" t="n"/>
      <c r="F141" s="9" t="n"/>
      <c r="G141" s="4" t="n"/>
      <c r="H141" s="12" t="n"/>
      <c r="I141" s="2" t="n"/>
    </row>
    <row r="142">
      <c r="A142" s="2" t="inlineStr">
        <is>
          <t>Projeto Lei</t>
        </is>
      </c>
      <c r="B142" s="4" t="n"/>
      <c r="C142" s="2" t="n"/>
      <c r="D142" s="2" t="n"/>
      <c r="E142" s="2" t="n"/>
      <c r="F142" s="9" t="n"/>
      <c r="G142" s="4" t="n"/>
      <c r="H142" s="12" t="n"/>
      <c r="I142" s="2" t="n"/>
    </row>
    <row r="143">
      <c r="A143" s="2" t="inlineStr">
        <is>
          <t>Projeto Lei</t>
        </is>
      </c>
      <c r="B143" s="4" t="n"/>
      <c r="C143" s="2" t="n"/>
      <c r="D143" s="2" t="n"/>
      <c r="E143" s="2" t="n"/>
      <c r="F143" s="9" t="n"/>
      <c r="G143" s="4" t="n"/>
      <c r="H143" s="12" t="n"/>
      <c r="I143" s="2" t="n"/>
    </row>
    <row r="144">
      <c r="A144" s="2" t="inlineStr">
        <is>
          <t>Projeto Lei</t>
        </is>
      </c>
      <c r="B144" s="4" t="n"/>
      <c r="C144" s="2" t="n"/>
      <c r="D144" s="2" t="n"/>
      <c r="E144" s="2" t="n"/>
      <c r="F144" s="9" t="n"/>
      <c r="G144" s="4" t="n"/>
      <c r="H144" s="12" t="n"/>
      <c r="I144" s="2" t="n"/>
    </row>
    <row r="145">
      <c r="A145" s="2" t="inlineStr">
        <is>
          <t>Projeto Lei</t>
        </is>
      </c>
      <c r="B145" s="4" t="n"/>
      <c r="C145" s="2" t="n"/>
      <c r="D145" s="2" t="n"/>
      <c r="E145" s="2" t="n"/>
      <c r="F145" s="9" t="n"/>
      <c r="G145" s="4" t="n"/>
      <c r="H145" s="12" t="n"/>
      <c r="I145" s="2" t="n"/>
    </row>
    <row r="146">
      <c r="A146" s="2" t="inlineStr">
        <is>
          <t>Projeto Lei</t>
        </is>
      </c>
      <c r="B146" s="4" t="n"/>
      <c r="C146" s="2" t="n"/>
      <c r="D146" s="2" t="n"/>
      <c r="E146" s="2" t="n"/>
      <c r="F146" s="9" t="n"/>
      <c r="G146" s="4" t="n"/>
      <c r="H146" s="12" t="n"/>
      <c r="I146" s="2" t="n"/>
    </row>
    <row r="147">
      <c r="A147" s="2" t="inlineStr">
        <is>
          <t>Projeto Lei</t>
        </is>
      </c>
      <c r="B147" s="4" t="n"/>
      <c r="C147" s="2" t="n"/>
      <c r="D147" s="2" t="n"/>
      <c r="E147" s="2" t="n"/>
      <c r="F147" s="9" t="n"/>
      <c r="G147" s="4" t="n"/>
      <c r="H147" s="12" t="n"/>
      <c r="I147" s="2" t="n"/>
    </row>
    <row r="148">
      <c r="A148" s="2" t="inlineStr">
        <is>
          <t>Projeto Lei</t>
        </is>
      </c>
      <c r="B148" s="4" t="n"/>
      <c r="C148" s="2" t="n"/>
      <c r="D148" s="2" t="n"/>
      <c r="E148" s="2" t="n"/>
      <c r="F148" s="9" t="n"/>
      <c r="G148" s="4" t="n"/>
      <c r="H148" s="12" t="n"/>
      <c r="I148" s="2" t="n"/>
    </row>
    <row r="149">
      <c r="A149" s="2" t="inlineStr">
        <is>
          <t>Projeto Lei</t>
        </is>
      </c>
      <c r="B149" s="4" t="n"/>
      <c r="C149" s="2" t="n"/>
      <c r="D149" s="2" t="n"/>
      <c r="E149" s="2" t="n"/>
      <c r="F149" s="9" t="n"/>
      <c r="G149" s="4" t="n"/>
      <c r="H149" s="12" t="n"/>
      <c r="I149" s="2" t="n"/>
    </row>
    <row r="150">
      <c r="A150" s="2" t="inlineStr">
        <is>
          <t>Projeto Lei</t>
        </is>
      </c>
      <c r="B150" s="4" t="n"/>
      <c r="C150" s="2" t="n"/>
      <c r="D150" s="2" t="n"/>
      <c r="E150" s="2" t="n"/>
      <c r="F150" s="9" t="n"/>
      <c r="G150" s="4" t="n"/>
      <c r="H150" s="12" t="n"/>
      <c r="I150" s="2" t="n"/>
    </row>
    <row r="151">
      <c r="A151" s="2" t="inlineStr">
        <is>
          <t>Projeto Lei</t>
        </is>
      </c>
      <c r="B151" s="4" t="n"/>
      <c r="C151" s="2" t="n"/>
      <c r="D151" s="2" t="n"/>
      <c r="E151" s="2" t="n"/>
      <c r="F151" s="9" t="n"/>
      <c r="G151" s="4" t="n"/>
      <c r="H151" s="12" t="n"/>
      <c r="I151" s="2" t="n"/>
    </row>
    <row r="152">
      <c r="A152" s="2" t="inlineStr">
        <is>
          <t>Projeto Lei</t>
        </is>
      </c>
      <c r="B152" s="4" t="n"/>
      <c r="C152" s="2" t="n"/>
      <c r="D152" s="2" t="n"/>
      <c r="E152" s="2" t="n"/>
      <c r="F152" s="9" t="n"/>
      <c r="G152" s="4" t="n"/>
      <c r="H152" s="12" t="n"/>
      <c r="I152" s="2" t="n"/>
    </row>
    <row r="153">
      <c r="A153" s="2" t="inlineStr">
        <is>
          <t>Projeto Lei</t>
        </is>
      </c>
      <c r="B153" s="4" t="n"/>
      <c r="C153" s="2" t="n"/>
      <c r="D153" s="2" t="n"/>
      <c r="E153" s="2" t="n"/>
      <c r="F153" s="9" t="n"/>
      <c r="G153" s="4" t="n"/>
      <c r="H153" s="12" t="n"/>
      <c r="I153" s="2" t="n"/>
    </row>
    <row r="154">
      <c r="A154" s="2" t="inlineStr">
        <is>
          <t>Projeto Lei</t>
        </is>
      </c>
      <c r="B154" s="4" t="n"/>
      <c r="C154" s="2" t="n"/>
      <c r="D154" s="2" t="n"/>
      <c r="E154" s="2" t="n"/>
      <c r="F154" s="9" t="n"/>
      <c r="G154" s="4" t="n"/>
      <c r="H154" s="12" t="n"/>
      <c r="I154" s="2" t="n"/>
    </row>
    <row r="155">
      <c r="A155" s="2" t="inlineStr">
        <is>
          <t>Projeto Lei</t>
        </is>
      </c>
      <c r="B155" s="4" t="n"/>
      <c r="C155" s="2" t="n"/>
      <c r="D155" s="2" t="n"/>
      <c r="E155" s="2" t="n"/>
      <c r="F155" s="9" t="n"/>
      <c r="G155" s="4" t="n"/>
      <c r="H155" s="12" t="n"/>
      <c r="I155" s="2" t="n"/>
    </row>
    <row r="156">
      <c r="A156" s="2" t="inlineStr">
        <is>
          <t>Projeto Lei</t>
        </is>
      </c>
      <c r="B156" s="4" t="n"/>
      <c r="C156" s="2" t="n"/>
      <c r="D156" s="2" t="n"/>
      <c r="E156" s="2" t="n"/>
      <c r="F156" s="9" t="n"/>
      <c r="G156" s="4" t="n"/>
      <c r="H156" s="12" t="n"/>
      <c r="I156" s="2" t="n"/>
    </row>
    <row r="157">
      <c r="A157" s="2" t="inlineStr">
        <is>
          <t>Projeto Lei</t>
        </is>
      </c>
      <c r="B157" s="4" t="n"/>
      <c r="C157" s="2" t="n"/>
      <c r="D157" s="2" t="n"/>
      <c r="E157" s="2" t="n"/>
      <c r="F157" s="9" t="n"/>
      <c r="G157" s="4" t="n"/>
      <c r="H157" s="12" t="n"/>
      <c r="I157" s="2" t="n"/>
    </row>
    <row r="158">
      <c r="A158" s="2" t="inlineStr">
        <is>
          <t>Projeto Lei</t>
        </is>
      </c>
      <c r="B158" s="4" t="n"/>
      <c r="C158" s="2" t="n"/>
      <c r="D158" s="2" t="n"/>
      <c r="E158" s="2" t="n"/>
      <c r="F158" s="9" t="n"/>
      <c r="G158" s="4" t="n"/>
      <c r="H158" s="12" t="n"/>
      <c r="I158" s="2" t="n"/>
    </row>
    <row r="159">
      <c r="A159" s="2" t="inlineStr">
        <is>
          <t>Projeto Lei</t>
        </is>
      </c>
      <c r="B159" s="4" t="n"/>
      <c r="C159" s="2" t="n"/>
      <c r="D159" s="2" t="n"/>
      <c r="E159" s="2" t="n"/>
      <c r="F159" s="9" t="n"/>
      <c r="G159" s="4" t="n"/>
      <c r="H159" s="12" t="n"/>
      <c r="I159" s="2" t="n"/>
    </row>
    <row r="160">
      <c r="A160" s="2" t="inlineStr">
        <is>
          <t>Projeto Lei</t>
        </is>
      </c>
      <c r="B160" s="4" t="n"/>
      <c r="C160" s="2" t="n"/>
      <c r="D160" s="2" t="n"/>
      <c r="E160" s="2" t="n"/>
      <c r="F160" s="43" t="n"/>
      <c r="G160" s="4" t="n"/>
      <c r="H160" s="12" t="n"/>
      <c r="I160" s="2" t="n"/>
    </row>
    <row r="161">
      <c r="F161" s="25" t="n"/>
    </row>
    <row r="162">
      <c r="F162" s="25" t="n"/>
    </row>
    <row r="163">
      <c r="F163" s="25" t="n"/>
    </row>
    <row r="164">
      <c r="F164" s="25" t="n"/>
    </row>
    <row r="165">
      <c r="F165" s="25" t="n"/>
    </row>
    <row r="166">
      <c r="F166" s="25" t="n"/>
    </row>
    <row r="167">
      <c r="F167" s="25" t="n"/>
    </row>
    <row r="168">
      <c r="F168" s="25" t="n"/>
    </row>
    <row r="169">
      <c r="F169" s="25" t="n"/>
    </row>
    <row r="170">
      <c r="F170" s="25" t="n"/>
    </row>
    <row r="171">
      <c r="F171" s="25" t="n"/>
    </row>
    <row r="172">
      <c r="F172" s="25" t="n"/>
    </row>
    <row r="173">
      <c r="F173" s="25" t="n"/>
    </row>
    <row r="174">
      <c r="F174" s="25" t="n"/>
    </row>
    <row r="175">
      <c r="F175" s="25" t="n"/>
    </row>
    <row r="176">
      <c r="F176" s="25" t="n"/>
    </row>
    <row r="177">
      <c r="F177" s="25" t="n"/>
    </row>
    <row r="178">
      <c r="F178" s="25" t="n"/>
    </row>
    <row r="179">
      <c r="F179" s="25" t="n"/>
    </row>
    <row r="180">
      <c r="F180" s="25" t="n"/>
    </row>
    <row r="181">
      <c r="F181" s="25" t="n"/>
    </row>
    <row r="182">
      <c r="F182" s="25" t="n"/>
    </row>
    <row r="183">
      <c r="F183" s="25" t="n"/>
    </row>
    <row r="184">
      <c r="F184" s="25" t="n"/>
    </row>
    <row r="185">
      <c r="F185" s="25" t="n"/>
    </row>
    <row r="186">
      <c r="F186" s="25" t="n"/>
    </row>
    <row r="187">
      <c r="F187" s="25" t="n"/>
    </row>
    <row r="188">
      <c r="F188" s="25" t="n"/>
    </row>
    <row r="189">
      <c r="F189" s="25" t="n"/>
    </row>
    <row r="190">
      <c r="F190" s="25" t="n"/>
    </row>
    <row r="191">
      <c r="F191" s="25" t="n"/>
    </row>
    <row r="192">
      <c r="F192" s="25" t="n"/>
    </row>
    <row r="193">
      <c r="F193" s="25" t="n"/>
    </row>
    <row r="194">
      <c r="F194" s="25" t="n"/>
    </row>
    <row r="195">
      <c r="F195" s="25" t="n"/>
    </row>
    <row r="196">
      <c r="F196" s="25" t="n"/>
    </row>
    <row r="197">
      <c r="F197" s="25" t="n"/>
    </row>
    <row r="198">
      <c r="F198" s="25" t="n"/>
    </row>
    <row r="199">
      <c r="F199" s="25" t="n"/>
    </row>
    <row r="200">
      <c r="F200" s="25" t="n"/>
    </row>
    <row r="201">
      <c r="F201" s="25" t="n"/>
    </row>
    <row r="202">
      <c r="F202" s="25" t="n"/>
    </row>
    <row r="203">
      <c r="F203" s="25" t="n"/>
    </row>
    <row r="204">
      <c r="F204" s="25" t="n"/>
    </row>
    <row r="205">
      <c r="F205" s="25" t="n"/>
    </row>
    <row r="206">
      <c r="F206" s="25" t="n"/>
    </row>
    <row r="207">
      <c r="F207" s="25" t="n"/>
    </row>
    <row r="208">
      <c r="F208" s="25" t="n"/>
    </row>
    <row r="209">
      <c r="F209" s="25" t="n"/>
    </row>
    <row r="210">
      <c r="F210" s="25" t="n"/>
    </row>
    <row r="211">
      <c r="F211" s="25" t="n"/>
    </row>
    <row r="212">
      <c r="F212" s="25" t="n"/>
    </row>
    <row r="213">
      <c r="F213" s="25" t="n"/>
    </row>
    <row r="214">
      <c r="F214" s="25" t="n"/>
    </row>
    <row r="215">
      <c r="F215" s="25" t="n"/>
    </row>
    <row r="216">
      <c r="F216" s="25" t="n"/>
    </row>
    <row r="217">
      <c r="F217" s="25" t="n"/>
    </row>
    <row r="218">
      <c r="F218" s="25" t="n"/>
    </row>
    <row r="219">
      <c r="F219" s="25" t="n"/>
    </row>
    <row r="220">
      <c r="F220" s="25" t="n"/>
    </row>
    <row r="221">
      <c r="F221" s="25" t="n"/>
    </row>
    <row r="222">
      <c r="F222" s="25" t="n"/>
    </row>
    <row r="223">
      <c r="F223" s="25" t="n"/>
    </row>
    <row r="224">
      <c r="F224" s="25" t="n"/>
    </row>
    <row r="225">
      <c r="F225" s="25" t="n"/>
    </row>
    <row r="226">
      <c r="F226" s="25" t="n"/>
    </row>
    <row r="227">
      <c r="F227" s="25" t="n"/>
    </row>
    <row r="228">
      <c r="F228" s="25" t="n"/>
    </row>
    <row r="229">
      <c r="F229" s="25" t="n"/>
    </row>
    <row r="230">
      <c r="F230" s="25" t="n"/>
    </row>
    <row r="231">
      <c r="F231" s="25" t="n"/>
    </row>
    <row r="232">
      <c r="F232" s="25" t="n"/>
    </row>
    <row r="233">
      <c r="F233" s="25" t="n"/>
    </row>
    <row r="234">
      <c r="F234" s="25" t="n"/>
    </row>
    <row r="235">
      <c r="F235" s="25" t="n"/>
    </row>
  </sheetData>
  <autoFilter ref="A1:I160"/>
  <conditionalFormatting sqref="A2:A160">
    <cfRule type="containsText" priority="5" operator="containsText" dxfId="5" text="Processo">
      <formula>NOT(ISERROR(SEARCH("Processo",A2)))</formula>
    </cfRule>
    <cfRule type="containsText" priority="6" operator="containsText" dxfId="4" text="Projeto Lei">
      <formula>NOT(ISERROR(SEARCH("Projeto Lei",A2)))</formula>
    </cfRule>
  </conditionalFormatting>
  <pageMargins left="0.25" right="0.25" top="0.75" bottom="0.75" header="0.3" footer="0.3"/>
  <pageSetup orientation="landscape" paperSize="9" scale="43" fitToHeight="0"/>
  <headerFooter>
    <oddHeader>&amp;CPROJETOS DE LEI NA RELATORIA</oddHeader>
    <oddFooter/>
    <evenHeader/>
    <evenFooter/>
    <firstHeader/>
    <firstFooter/>
  </headerFooter>
</worksheet>
</file>

<file path=xl/worksheets/sheet6.xml><?xml version="1.0" encoding="utf-8"?>
<worksheet xmlns="http://schemas.openxmlformats.org/spreadsheetml/2006/main">
  <sheetPr>
    <tabColor rgb="FF00B0F0"/>
    <outlinePr summaryBelow="1" summaryRight="1"/>
    <pageSetUpPr/>
  </sheetPr>
  <dimension ref="A1:T59"/>
  <sheetViews>
    <sheetView zoomScale="90" zoomScaleNormal="90" workbookViewId="0">
      <pane ySplit="2" topLeftCell="A3" activePane="bottomLeft" state="frozen"/>
      <selection pane="bottomLeft" activeCell="A26" sqref="A26"/>
    </sheetView>
  </sheetViews>
  <sheetFormatPr baseColWidth="8" defaultRowHeight="15"/>
  <cols>
    <col width="3.140625" customWidth="1" style="1" min="1" max="1"/>
    <col width="12.42578125" customWidth="1" style="6" min="2" max="2"/>
    <col width="9.140625" customWidth="1" style="6" min="3" max="4"/>
    <col width="13.7109375" bestFit="1" customWidth="1" style="6" min="5" max="5"/>
    <col width="13.85546875" customWidth="1" style="6" min="6" max="6"/>
    <col width="14.140625" customWidth="1" style="6" min="7" max="7"/>
    <col width="15.140625" customWidth="1" style="6" min="8" max="8"/>
    <col width="12.42578125" bestFit="1" customWidth="1" style="6" min="9" max="9"/>
    <col width="12.42578125" customWidth="1" style="6" min="10" max="10"/>
    <col width="14.7109375" customWidth="1" style="6" min="11" max="14"/>
    <col width="14.140625" customWidth="1" style="6" min="15" max="15"/>
    <col width="14.7109375" customWidth="1" style="6" min="16" max="16"/>
    <col width="58.5703125" customWidth="1" style="60" min="17" max="17"/>
    <col width="12.42578125" bestFit="1" customWidth="1" style="1" min="18" max="20"/>
    <col width="9.140625" customWidth="1" style="1" min="21" max="16384"/>
  </cols>
  <sheetData>
    <row r="1">
      <c r="A1" s="1" t="inlineStr">
        <is>
          <t xml:space="preserve"> </t>
        </is>
      </c>
    </row>
    <row r="2" ht="30" customHeight="1" s="79">
      <c r="B2" s="54" t="inlineStr">
        <is>
          <t>ANO</t>
        </is>
      </c>
      <c r="C2" s="54" t="inlineStr">
        <is>
          <t>Nº</t>
        </is>
      </c>
      <c r="D2" s="54" t="inlineStr">
        <is>
          <t>TIPO</t>
        </is>
      </c>
      <c r="E2" s="55" t="inlineStr">
        <is>
          <t>DT. 
REUNIÃO</t>
        </is>
      </c>
      <c r="F2" s="55" t="inlineStr">
        <is>
          <t>DT. EDITAL
D.O.</t>
        </is>
      </c>
      <c r="G2" s="55" t="inlineStr">
        <is>
          <t>TEM EDITAL 
ASSINADO</t>
        </is>
      </c>
      <c r="H2" s="55" t="inlineStr">
        <is>
          <t>TEM PRESENÇA
ASSINADA</t>
        </is>
      </c>
      <c r="I2" s="55" t="inlineStr">
        <is>
          <t>TEM ATA 
ASSINADA</t>
        </is>
      </c>
      <c r="J2" s="55" t="inlineStr">
        <is>
          <t>DT. ATA.
D.O.</t>
        </is>
      </c>
      <c r="K2" s="55" t="inlineStr">
        <is>
          <t>TEM PARECER 
ASSINADO</t>
        </is>
      </c>
      <c r="L2" s="55" t="inlineStr">
        <is>
          <t>DT. PARECER
D.O.</t>
        </is>
      </c>
      <c r="M2" s="55" t="inlineStr">
        <is>
          <t>TEM
DELIBERAÇÃO</t>
        </is>
      </c>
      <c r="N2" s="55" t="inlineStr">
        <is>
          <t>DELIBERAÇÃO
ASSINADA</t>
        </is>
      </c>
      <c r="O2" s="55" t="inlineStr">
        <is>
          <t>TEM
CONCLUSÃO</t>
        </is>
      </c>
      <c r="P2" s="55" t="inlineStr">
        <is>
          <t>CONCLUSÃO
ASSINADA</t>
        </is>
      </c>
      <c r="Q2" s="55" t="inlineStr">
        <is>
          <t>OBS</t>
        </is>
      </c>
      <c r="R2" s="56" t="n"/>
      <c r="S2" s="56" t="n"/>
      <c r="T2" s="56" t="n"/>
    </row>
    <row r="3">
      <c r="B3" s="63" t="n">
        <v>2025</v>
      </c>
      <c r="C3" s="63" t="n">
        <v>0</v>
      </c>
      <c r="D3" s="63" t="inlineStr">
        <is>
          <t>RI</t>
        </is>
      </c>
      <c r="E3" s="57" t="n">
        <v>45713</v>
      </c>
      <c r="F3" s="9" t="n">
        <v>45709</v>
      </c>
      <c r="G3" s="4" t="inlineStr">
        <is>
          <t>Sim</t>
        </is>
      </c>
      <c r="H3" s="4" t="inlineStr">
        <is>
          <t>Não</t>
        </is>
      </c>
      <c r="I3" s="4" t="inlineStr">
        <is>
          <t>Sim</t>
        </is>
      </c>
      <c r="J3" s="9" t="n">
        <v>45714</v>
      </c>
      <c r="K3" s="4" t="inlineStr">
        <is>
          <t>N/A</t>
        </is>
      </c>
      <c r="L3" s="4" t="n"/>
      <c r="M3" s="4" t="inlineStr">
        <is>
          <t>N/A</t>
        </is>
      </c>
      <c r="N3" s="4" t="inlineStr">
        <is>
          <t>N/A</t>
        </is>
      </c>
      <c r="O3" s="4" t="inlineStr">
        <is>
          <t>N/A</t>
        </is>
      </c>
      <c r="P3" s="4" t="inlineStr">
        <is>
          <t>N/A</t>
        </is>
      </c>
      <c r="Q3" s="13" t="inlineStr">
        <is>
          <t>Kit entregue em 30/10/2025</t>
        </is>
      </c>
    </row>
    <row r="4">
      <c r="B4" s="63" t="n">
        <v>2025</v>
      </c>
      <c r="C4" s="63" t="n">
        <v>1</v>
      </c>
      <c r="D4" s="63" t="inlineStr">
        <is>
          <t>RE</t>
        </is>
      </c>
      <c r="E4" s="57" t="n">
        <v>45727</v>
      </c>
      <c r="F4" s="9" t="n">
        <v>45723</v>
      </c>
      <c r="G4" s="4" t="inlineStr">
        <is>
          <t>Sim</t>
        </is>
      </c>
      <c r="H4" s="4" t="inlineStr">
        <is>
          <t>Sim</t>
        </is>
      </c>
      <c r="I4" s="4" t="inlineStr">
        <is>
          <t>Sim</t>
        </is>
      </c>
      <c r="J4" s="9" t="n">
        <v>45833</v>
      </c>
      <c r="K4" s="4" t="inlineStr">
        <is>
          <t>Sim</t>
        </is>
      </c>
      <c r="L4" s="4" t="n"/>
      <c r="M4" s="4" t="n"/>
      <c r="N4" s="4" t="n"/>
      <c r="O4" s="4" t="n"/>
      <c r="P4" s="4" t="n"/>
      <c r="Q4" s="13" t="inlineStr">
        <is>
          <t>Kit entregue em 26/09/2025</t>
        </is>
      </c>
    </row>
    <row r="5">
      <c r="B5" s="63" t="n">
        <v>2025</v>
      </c>
      <c r="C5" s="63" t="n">
        <v>1</v>
      </c>
      <c r="D5" s="63" t="inlineStr">
        <is>
          <t>AP</t>
        </is>
      </c>
      <c r="E5" s="57" t="n">
        <v>45727</v>
      </c>
      <c r="F5" s="9" t="n">
        <v>45723</v>
      </c>
      <c r="G5" s="4" t="inlineStr">
        <is>
          <t>Sim</t>
        </is>
      </c>
      <c r="H5" s="4" t="inlineStr">
        <is>
          <t>Sim</t>
        </is>
      </c>
      <c r="I5" s="4" t="inlineStr">
        <is>
          <t>Sim</t>
        </is>
      </c>
      <c r="J5" s="9" t="n">
        <v>45840</v>
      </c>
      <c r="K5" s="4" t="inlineStr">
        <is>
          <t>N/A</t>
        </is>
      </c>
      <c r="L5" s="4" t="n"/>
      <c r="M5" s="4" t="inlineStr">
        <is>
          <t>N/A</t>
        </is>
      </c>
      <c r="N5" s="4" t="inlineStr">
        <is>
          <t>N/A</t>
        </is>
      </c>
      <c r="O5" s="4" t="inlineStr">
        <is>
          <t>N/A</t>
        </is>
      </c>
      <c r="P5" s="4" t="inlineStr">
        <is>
          <t>N/A</t>
        </is>
      </c>
      <c r="Q5" s="13" t="n"/>
    </row>
    <row r="6">
      <c r="B6" s="63" t="n">
        <v>2025</v>
      </c>
      <c r="C6" s="63" t="n">
        <v>2</v>
      </c>
      <c r="D6" s="63" t="inlineStr">
        <is>
          <t>RE</t>
        </is>
      </c>
      <c r="E6" s="57" t="n">
        <v>45776</v>
      </c>
      <c r="F6" s="9" t="n">
        <v>45772</v>
      </c>
      <c r="G6" s="4" t="inlineStr">
        <is>
          <t>Sim</t>
        </is>
      </c>
      <c r="H6" s="4" t="inlineStr">
        <is>
          <t>Sim</t>
        </is>
      </c>
      <c r="I6" s="4" t="inlineStr">
        <is>
          <t>Sim</t>
        </is>
      </c>
      <c r="J6" s="9" t="n">
        <v>45833</v>
      </c>
      <c r="K6" s="4" t="inlineStr">
        <is>
          <t>N/A</t>
        </is>
      </c>
      <c r="L6" s="9" t="n"/>
      <c r="M6" s="4" t="inlineStr">
        <is>
          <t>N/A</t>
        </is>
      </c>
      <c r="N6" s="4" t="inlineStr">
        <is>
          <t>N/A</t>
        </is>
      </c>
      <c r="O6" s="4" t="inlineStr">
        <is>
          <t>N/A</t>
        </is>
      </c>
      <c r="P6" s="4" t="inlineStr">
        <is>
          <t>N/A</t>
        </is>
      </c>
      <c r="Q6" s="13" t="inlineStr">
        <is>
          <t>Kit entregue em 02/10/2025</t>
        </is>
      </c>
    </row>
    <row r="7">
      <c r="B7" s="63" t="n">
        <v>2025</v>
      </c>
      <c r="C7" s="63" t="n">
        <v>2</v>
      </c>
      <c r="D7" s="63" t="inlineStr">
        <is>
          <t>AP</t>
        </is>
      </c>
      <c r="E7" s="57" t="n">
        <v>45776</v>
      </c>
      <c r="F7" s="9" t="n">
        <v>45772</v>
      </c>
      <c r="G7" s="4" t="inlineStr">
        <is>
          <t>Sim</t>
        </is>
      </c>
      <c r="H7" s="4" t="inlineStr">
        <is>
          <t>Sim</t>
        </is>
      </c>
      <c r="I7" s="4" t="inlineStr">
        <is>
          <t>Sim</t>
        </is>
      </c>
      <c r="J7" s="9" t="n">
        <v>45912</v>
      </c>
      <c r="K7" s="4" t="inlineStr">
        <is>
          <t>N/A</t>
        </is>
      </c>
      <c r="L7" s="9" t="n"/>
      <c r="M7" s="4" t="inlineStr">
        <is>
          <t>N/A</t>
        </is>
      </c>
      <c r="N7" s="4" t="inlineStr">
        <is>
          <t>N/A</t>
        </is>
      </c>
      <c r="O7" s="4" t="inlineStr">
        <is>
          <t>N/A</t>
        </is>
      </c>
      <c r="P7" s="4" t="inlineStr">
        <is>
          <t>N/A</t>
        </is>
      </c>
      <c r="Q7" s="13" t="inlineStr">
        <is>
          <t>Kit entregue em 26/09/2025</t>
        </is>
      </c>
    </row>
    <row r="8" ht="49.5" customHeight="1" s="79">
      <c r="B8" s="63" t="n">
        <v>2025</v>
      </c>
      <c r="C8" s="63" t="n">
        <v>3</v>
      </c>
      <c r="D8" s="63" t="inlineStr">
        <is>
          <t>RE</t>
        </is>
      </c>
      <c r="E8" s="57" t="n">
        <v>45798</v>
      </c>
      <c r="F8" s="9" t="n">
        <v>45796</v>
      </c>
      <c r="G8" s="4" t="inlineStr">
        <is>
          <t>Sim</t>
        </is>
      </c>
      <c r="H8" s="4" t="inlineStr">
        <is>
          <t>Sim</t>
        </is>
      </c>
      <c r="I8" s="4" t="inlineStr">
        <is>
          <t>Sim</t>
        </is>
      </c>
      <c r="J8" s="9" t="n">
        <v>45833</v>
      </c>
      <c r="K8" s="4" t="inlineStr">
        <is>
          <t>N/A</t>
        </is>
      </c>
      <c r="L8" s="4" t="n"/>
      <c r="M8" s="4" t="inlineStr">
        <is>
          <t>N/A</t>
        </is>
      </c>
      <c r="N8" s="4" t="inlineStr">
        <is>
          <t>N/A</t>
        </is>
      </c>
      <c r="O8" s="4" t="inlineStr">
        <is>
          <t>N/A</t>
        </is>
      </c>
      <c r="P8" s="4" t="inlineStr">
        <is>
          <t>N/A</t>
        </is>
      </c>
      <c r="Q8" s="13" t="inlineStr">
        <is>
          <t>kit entregue em 01/10/2025</t>
        </is>
      </c>
    </row>
    <row r="9">
      <c r="B9" s="63" t="n">
        <v>2025</v>
      </c>
      <c r="C9" s="63" t="n">
        <v>3</v>
      </c>
      <c r="D9" s="63" t="inlineStr">
        <is>
          <t>AP</t>
        </is>
      </c>
      <c r="E9" s="57" t="n">
        <v>45811</v>
      </c>
      <c r="F9" s="9" t="n">
        <v>45806</v>
      </c>
      <c r="G9" s="4" t="inlineStr">
        <is>
          <t>Sim</t>
        </is>
      </c>
      <c r="H9" s="4" t="inlineStr">
        <is>
          <t>Sim</t>
        </is>
      </c>
      <c r="I9" s="4" t="inlineStr">
        <is>
          <t>Sim</t>
        </is>
      </c>
      <c r="J9" s="9" t="n">
        <v>45912</v>
      </c>
      <c r="K9" s="4" t="inlineStr">
        <is>
          <t>N/A</t>
        </is>
      </c>
      <c r="L9" s="9" t="n"/>
      <c r="M9" s="4" t="inlineStr">
        <is>
          <t>N/A</t>
        </is>
      </c>
      <c r="N9" s="4" t="inlineStr">
        <is>
          <t>N/A</t>
        </is>
      </c>
      <c r="O9" s="4" t="inlineStr">
        <is>
          <t>N/A</t>
        </is>
      </c>
      <c r="P9" s="4" t="inlineStr">
        <is>
          <t>N/A</t>
        </is>
      </c>
      <c r="Q9" s="13" t="inlineStr">
        <is>
          <t>kit entregue em 01/10/2025</t>
        </is>
      </c>
    </row>
    <row r="10">
      <c r="B10" s="63" t="n">
        <v>2025</v>
      </c>
      <c r="C10" s="63" t="n">
        <v>4</v>
      </c>
      <c r="D10" s="63" t="inlineStr">
        <is>
          <t>RE</t>
        </is>
      </c>
      <c r="E10" s="57" t="n">
        <v>45819</v>
      </c>
      <c r="F10" s="9" t="n">
        <v>45814</v>
      </c>
      <c r="G10" s="4" t="inlineStr">
        <is>
          <t>Sim</t>
        </is>
      </c>
      <c r="H10" s="4" t="inlineStr">
        <is>
          <t>Sim</t>
        </is>
      </c>
      <c r="I10" s="4" t="inlineStr">
        <is>
          <t>Sim</t>
        </is>
      </c>
      <c r="J10" s="9" t="n">
        <v>45932</v>
      </c>
      <c r="K10" s="4" t="inlineStr">
        <is>
          <t>N/A</t>
        </is>
      </c>
      <c r="L10" s="9" t="n"/>
      <c r="M10" s="4" t="inlineStr">
        <is>
          <t>N/A</t>
        </is>
      </c>
      <c r="N10" s="4" t="inlineStr">
        <is>
          <t>N/A</t>
        </is>
      </c>
      <c r="O10" s="4" t="inlineStr">
        <is>
          <t>N/A</t>
        </is>
      </c>
      <c r="P10" s="4" t="inlineStr">
        <is>
          <t>N/A</t>
        </is>
      </c>
      <c r="Q10" s="13" t="inlineStr">
        <is>
          <t>kit entregue em 01/10/2025</t>
        </is>
      </c>
    </row>
    <row r="11">
      <c r="B11" s="63" t="n">
        <v>2025</v>
      </c>
      <c r="C11" s="63" t="n">
        <v>5</v>
      </c>
      <c r="D11" s="63" t="inlineStr">
        <is>
          <t>RE</t>
        </is>
      </c>
      <c r="E11" s="57" t="n">
        <v>45832</v>
      </c>
      <c r="F11" s="9" t="n">
        <v>45832</v>
      </c>
      <c r="G11" s="4" t="inlineStr">
        <is>
          <t>Sim</t>
        </is>
      </c>
      <c r="H11" s="4" t="inlineStr">
        <is>
          <t>Sim</t>
        </is>
      </c>
      <c r="I11" s="4" t="inlineStr">
        <is>
          <t>Sim</t>
        </is>
      </c>
      <c r="J11" s="9" t="n">
        <v>45932</v>
      </c>
      <c r="K11" s="4" t="inlineStr">
        <is>
          <t>N/A</t>
        </is>
      </c>
      <c r="L11" s="9" t="n"/>
      <c r="M11" s="4" t="inlineStr">
        <is>
          <t>N/A</t>
        </is>
      </c>
      <c r="N11" s="4" t="inlineStr">
        <is>
          <t>N/A</t>
        </is>
      </c>
      <c r="O11" s="4" t="inlineStr">
        <is>
          <t>N/A</t>
        </is>
      </c>
      <c r="P11" s="4" t="inlineStr">
        <is>
          <t>N/A</t>
        </is>
      </c>
      <c r="Q11" s="13" t="inlineStr">
        <is>
          <t>kit entregue em 01/10/2025</t>
        </is>
      </c>
    </row>
    <row r="12">
      <c r="B12" s="63" t="n">
        <v>2025</v>
      </c>
      <c r="C12" s="63" t="n">
        <v>4</v>
      </c>
      <c r="D12" s="63" t="inlineStr">
        <is>
          <t>AP</t>
        </is>
      </c>
      <c r="E12" s="57" t="n">
        <v>45902</v>
      </c>
      <c r="F12" s="9" t="n">
        <v>45888</v>
      </c>
      <c r="G12" s="4" t="inlineStr">
        <is>
          <t>Sim</t>
        </is>
      </c>
      <c r="H12" s="4" t="inlineStr">
        <is>
          <t>Sim</t>
        </is>
      </c>
      <c r="I12" s="4" t="inlineStr">
        <is>
          <t>Sim</t>
        </is>
      </c>
      <c r="J12" s="9" t="n">
        <v>45961</v>
      </c>
      <c r="K12" s="4" t="inlineStr">
        <is>
          <t>N/A</t>
        </is>
      </c>
      <c r="L12" s="4" t="n"/>
      <c r="M12" s="4" t="inlineStr">
        <is>
          <t>N/A</t>
        </is>
      </c>
      <c r="N12" s="4" t="inlineStr">
        <is>
          <t>N/A</t>
        </is>
      </c>
      <c r="O12" s="4" t="inlineStr">
        <is>
          <t>N/A</t>
        </is>
      </c>
      <c r="P12" s="4" t="inlineStr">
        <is>
          <t>N/A</t>
        </is>
      </c>
      <c r="Q12" s="13" t="inlineStr">
        <is>
          <t>Kit entregue em 30/10/2025</t>
        </is>
      </c>
    </row>
    <row r="13">
      <c r="B13" s="63" t="n">
        <v>2025</v>
      </c>
      <c r="C13" s="63" t="n">
        <v>6</v>
      </c>
      <c r="D13" s="63" t="inlineStr">
        <is>
          <t>RE</t>
        </is>
      </c>
      <c r="E13" s="57" t="n">
        <v>45902</v>
      </c>
      <c r="F13" s="9" t="n">
        <v>45891</v>
      </c>
      <c r="G13" s="4" t="inlineStr">
        <is>
          <t>Sim</t>
        </is>
      </c>
      <c r="H13" s="4" t="inlineStr">
        <is>
          <t>Sim</t>
        </is>
      </c>
      <c r="I13" s="4" t="inlineStr">
        <is>
          <t>Sim</t>
        </is>
      </c>
      <c r="J13" s="9" t="n">
        <v>45961</v>
      </c>
      <c r="K13" s="4" t="inlineStr">
        <is>
          <t>N/A</t>
        </is>
      </c>
      <c r="L13" s="4" t="n"/>
      <c r="M13" s="4" t="inlineStr">
        <is>
          <t>N/A</t>
        </is>
      </c>
      <c r="N13" s="4" t="inlineStr">
        <is>
          <t>N/A</t>
        </is>
      </c>
      <c r="O13" s="4" t="inlineStr">
        <is>
          <t>N/A</t>
        </is>
      </c>
      <c r="P13" s="4" t="inlineStr">
        <is>
          <t>N/A</t>
        </is>
      </c>
      <c r="Q13" s="13" t="inlineStr">
        <is>
          <t>Kit entregue em 30/10/2025</t>
        </is>
      </c>
    </row>
    <row r="14">
      <c r="B14" s="4" t="n">
        <v>2025</v>
      </c>
      <c r="C14" s="4" t="n">
        <v>7</v>
      </c>
      <c r="D14" s="4" t="inlineStr">
        <is>
          <t>RE</t>
        </is>
      </c>
      <c r="E14" s="57" t="n">
        <v>45951</v>
      </c>
      <c r="F14" s="9" t="n">
        <v>45951</v>
      </c>
      <c r="G14" s="4" t="n"/>
      <c r="H14" s="4" t="n"/>
      <c r="I14" s="4" t="n"/>
      <c r="J14" s="9" t="n"/>
      <c r="K14" s="4" t="inlineStr">
        <is>
          <t>Sim</t>
        </is>
      </c>
      <c r="L14" s="9" t="n">
        <v>45953</v>
      </c>
      <c r="M14" s="4" t="inlineStr">
        <is>
          <t>N/A</t>
        </is>
      </c>
      <c r="N14" s="4" t="inlineStr">
        <is>
          <t>N/A</t>
        </is>
      </c>
      <c r="O14" s="4" t="inlineStr">
        <is>
          <t>N/A</t>
        </is>
      </c>
      <c r="P14" s="4" t="inlineStr">
        <is>
          <t>N/A</t>
        </is>
      </c>
      <c r="Q14" s="13" t="inlineStr">
        <is>
          <t>Edital republicado para ser híbrida / LOA e PPA</t>
        </is>
      </c>
    </row>
    <row r="15">
      <c r="B15" s="4" t="n">
        <v>2025</v>
      </c>
      <c r="C15" s="4" t="n">
        <v>5</v>
      </c>
      <c r="D15" s="4" t="inlineStr">
        <is>
          <t>AP</t>
        </is>
      </c>
      <c r="E15" s="57" t="n">
        <v>45951</v>
      </c>
      <c r="F15" s="9" t="n">
        <v>45951</v>
      </c>
      <c r="G15" s="4" t="inlineStr">
        <is>
          <t>Não</t>
        </is>
      </c>
      <c r="H15" s="4" t="inlineStr">
        <is>
          <t>Não</t>
        </is>
      </c>
      <c r="I15" s="4" t="inlineStr">
        <is>
          <t>Não</t>
        </is>
      </c>
      <c r="J15" s="9" t="n"/>
      <c r="K15" s="4" t="inlineStr">
        <is>
          <t>N/A</t>
        </is>
      </c>
      <c r="L15" s="4" t="n"/>
      <c r="M15" s="4" t="inlineStr">
        <is>
          <t>N/A</t>
        </is>
      </c>
      <c r="N15" s="4" t="inlineStr">
        <is>
          <t>N/A</t>
        </is>
      </c>
      <c r="O15" s="4" t="inlineStr">
        <is>
          <t>N/A</t>
        </is>
      </c>
      <c r="P15" s="4" t="inlineStr">
        <is>
          <t>N/A</t>
        </is>
      </c>
      <c r="Q15" s="13" t="inlineStr">
        <is>
          <t>Edital republicado para ser híbrida</t>
        </is>
      </c>
    </row>
    <row r="16">
      <c r="B16" s="4" t="n">
        <v>2025</v>
      </c>
      <c r="C16" s="4" t="n">
        <v>8</v>
      </c>
      <c r="D16" s="4" t="inlineStr">
        <is>
          <t>RE</t>
        </is>
      </c>
      <c r="E16" s="57" t="n">
        <v>46007</v>
      </c>
      <c r="F16" s="9" t="n"/>
      <c r="G16" s="4" t="inlineStr">
        <is>
          <t>Não</t>
        </is>
      </c>
      <c r="H16" s="4" t="inlineStr">
        <is>
          <t>Não</t>
        </is>
      </c>
      <c r="I16" s="4" t="inlineStr">
        <is>
          <t>Não</t>
        </is>
      </c>
      <c r="J16" s="4" t="n"/>
      <c r="K16" s="4" t="inlineStr">
        <is>
          <t>Não</t>
        </is>
      </c>
      <c r="L16" s="4" t="n"/>
      <c r="M16" s="4" t="n"/>
      <c r="N16" s="4" t="n"/>
      <c r="O16" s="4" t="n"/>
      <c r="P16" s="4" t="n"/>
      <c r="Q16" s="13" t="inlineStr">
        <is>
          <t>Pareceres as emendas loa, ppa e demais projetos</t>
        </is>
      </c>
    </row>
    <row r="17">
      <c r="B17" s="4" t="n">
        <v>2025</v>
      </c>
      <c r="C17" s="4" t="n">
        <v>9</v>
      </c>
      <c r="D17" s="4" t="inlineStr">
        <is>
          <t>RE</t>
        </is>
      </c>
      <c r="E17" s="57" t="n">
        <v>46009</v>
      </c>
      <c r="F17" s="9" t="n"/>
      <c r="G17" s="4" t="inlineStr">
        <is>
          <t>Não</t>
        </is>
      </c>
      <c r="H17" s="4" t="inlineStr">
        <is>
          <t>Não</t>
        </is>
      </c>
      <c r="I17" s="4" t="inlineStr">
        <is>
          <t>Não</t>
        </is>
      </c>
      <c r="J17" s="9" t="n"/>
      <c r="K17" s="4" t="inlineStr">
        <is>
          <t>N/A</t>
        </is>
      </c>
      <c r="L17" s="4" t="n"/>
      <c r="M17" s="4" t="n"/>
      <c r="N17" s="4" t="n"/>
      <c r="O17" s="4" t="n"/>
      <c r="P17" s="4" t="n"/>
      <c r="Q17" s="13" t="inlineStr">
        <is>
          <t>Vedação final da LOA/PPA 2026</t>
        </is>
      </c>
    </row>
    <row r="18">
      <c r="B18" s="64" t="n">
        <v>2026</v>
      </c>
      <c r="C18" s="64" t="n">
        <v>1</v>
      </c>
      <c r="D18" s="64" t="inlineStr">
        <is>
          <t>AP</t>
        </is>
      </c>
      <c r="E18" s="57" t="n">
        <v>46077</v>
      </c>
      <c r="F18" s="9" t="n">
        <v>46065</v>
      </c>
      <c r="G18" s="4" t="inlineStr">
        <is>
          <t>Sim</t>
        </is>
      </c>
      <c r="H18" s="4" t="inlineStr">
        <is>
          <t>Sim</t>
        </is>
      </c>
      <c r="I18" s="4" t="inlineStr">
        <is>
          <t>Sim</t>
        </is>
      </c>
      <c r="J18" s="9" t="n">
        <v>46105</v>
      </c>
      <c r="K18" s="4" t="inlineStr">
        <is>
          <t>N/A</t>
        </is>
      </c>
      <c r="L18" s="4" t="inlineStr">
        <is>
          <t>-</t>
        </is>
      </c>
      <c r="M18" s="4" t="inlineStr">
        <is>
          <t>N/A</t>
        </is>
      </c>
      <c r="N18" s="4" t="inlineStr">
        <is>
          <t>N/A</t>
        </is>
      </c>
      <c r="O18" s="4" t="inlineStr">
        <is>
          <t>N/A</t>
        </is>
      </c>
      <c r="P18" s="4" t="inlineStr">
        <is>
          <t>N/A</t>
        </is>
      </c>
      <c r="Q18" s="13" t="inlineStr">
        <is>
          <t xml:space="preserve"> Kit entregue em 26/03/2026</t>
        </is>
      </c>
    </row>
    <row r="19" ht="30" customHeight="1" s="79">
      <c r="B19" s="63" t="n">
        <v>2026</v>
      </c>
      <c r="C19" s="63" t="n">
        <v>1</v>
      </c>
      <c r="D19" s="63" t="inlineStr">
        <is>
          <t>RE</t>
        </is>
      </c>
      <c r="E19" s="57" t="n">
        <v>46077</v>
      </c>
      <c r="F19" s="9" t="n">
        <v>46073</v>
      </c>
      <c r="G19" s="4" t="inlineStr">
        <is>
          <t>Sim</t>
        </is>
      </c>
      <c r="H19" s="4" t="inlineStr">
        <is>
          <t>Sim</t>
        </is>
      </c>
      <c r="I19" s="4" t="inlineStr">
        <is>
          <t>Sim</t>
        </is>
      </c>
      <c r="J19" s="9" t="n">
        <v>46098</v>
      </c>
      <c r="K19" s="4" t="inlineStr">
        <is>
          <t>N/A</t>
        </is>
      </c>
      <c r="L19" s="12" t="inlineStr">
        <is>
          <t>27/02/2026
05/03/2026</t>
        </is>
      </c>
      <c r="M19" s="4" t="inlineStr">
        <is>
          <t>N/A</t>
        </is>
      </c>
      <c r="N19" s="4" t="inlineStr">
        <is>
          <t>N/A</t>
        </is>
      </c>
      <c r="O19" s="4" t="inlineStr">
        <is>
          <t>N/A</t>
        </is>
      </c>
      <c r="P19" s="4" t="inlineStr">
        <is>
          <t>N/A</t>
        </is>
      </c>
      <c r="Q19" s="13" t="inlineStr">
        <is>
          <t xml:space="preserve"> Kit entregue em 25/03/2026</t>
        </is>
      </c>
    </row>
    <row r="20" ht="30" customHeight="1" s="79">
      <c r="B20" s="63" t="n">
        <v>2026</v>
      </c>
      <c r="C20" s="63" t="n">
        <v>1</v>
      </c>
      <c r="D20" s="63" t="inlineStr">
        <is>
          <t>RO</t>
        </is>
      </c>
      <c r="E20" s="57" t="n">
        <v>46084</v>
      </c>
      <c r="F20" s="9" t="n">
        <v>46083</v>
      </c>
      <c r="G20" s="4" t="inlineStr">
        <is>
          <t>Sim</t>
        </is>
      </c>
      <c r="H20" s="4" t="inlineStr">
        <is>
          <t>Sim</t>
        </is>
      </c>
      <c r="I20" s="4" t="inlineStr">
        <is>
          <t>Sim</t>
        </is>
      </c>
      <c r="J20" s="9" t="n">
        <v>46098</v>
      </c>
      <c r="K20" s="4" t="inlineStr">
        <is>
          <t>N/A</t>
        </is>
      </c>
      <c r="L20" s="9" t="n">
        <v>46086</v>
      </c>
      <c r="M20" s="4" t="inlineStr">
        <is>
          <t>N/A</t>
        </is>
      </c>
      <c r="N20" s="4" t="inlineStr">
        <is>
          <t>N/A</t>
        </is>
      </c>
      <c r="O20" s="4" t="inlineStr">
        <is>
          <t>N/A</t>
        </is>
      </c>
      <c r="P20" s="4" t="inlineStr">
        <is>
          <t>N/A</t>
        </is>
      </c>
      <c r="Q20" s="13" t="inlineStr">
        <is>
          <t>Contas de governo / publicado com erros em 04/03/2026 / Kit entregue em 25/03/2026</t>
        </is>
      </c>
    </row>
    <row r="21">
      <c r="B21" s="4" t="n">
        <v>2026</v>
      </c>
      <c r="C21" s="4" t="n">
        <v>2</v>
      </c>
      <c r="D21" s="4" t="inlineStr">
        <is>
          <t>RE</t>
        </is>
      </c>
      <c r="E21" s="57" t="n">
        <v>46120</v>
      </c>
      <c r="F21" s="9" t="n">
        <v>46120</v>
      </c>
      <c r="G21" s="4" t="n"/>
      <c r="H21" s="4" t="n"/>
      <c r="I21" s="4" t="n"/>
      <c r="J21" s="9" t="n"/>
      <c r="K21" s="4" t="n"/>
      <c r="L21" s="4" t="n"/>
      <c r="M21" s="4" t="n"/>
      <c r="N21" s="4" t="n"/>
      <c r="O21" s="4" t="n"/>
      <c r="P21" s="4" t="n"/>
      <c r="Q21" s="13" t="inlineStr">
        <is>
          <t>Deliberar a 2a AP</t>
        </is>
      </c>
    </row>
    <row r="22">
      <c r="B22" s="4" t="n">
        <v>2026</v>
      </c>
      <c r="C22" s="4" t="n">
        <v>2</v>
      </c>
      <c r="D22" s="4" t="inlineStr">
        <is>
          <t>AP</t>
        </is>
      </c>
      <c r="E22" s="57" t="n">
        <v>46140</v>
      </c>
      <c r="F22" s="9" t="n">
        <v>46132</v>
      </c>
      <c r="G22" s="4" t="n"/>
      <c r="H22" s="4" t="n"/>
      <c r="I22" s="4" t="n"/>
      <c r="J22" s="9" t="n"/>
      <c r="K22" s="4" t="n"/>
      <c r="L22" s="4" t="n"/>
      <c r="M22" s="4" t="inlineStr">
        <is>
          <t>N/A</t>
        </is>
      </c>
      <c r="N22" s="4" t="inlineStr">
        <is>
          <t>N/A</t>
        </is>
      </c>
      <c r="O22" s="4" t="inlineStr">
        <is>
          <t>N/A</t>
        </is>
      </c>
      <c r="P22" s="4" t="inlineStr">
        <is>
          <t>N/A</t>
        </is>
      </c>
      <c r="Q22" s="13" t="inlineStr">
        <is>
          <t>Royalties</t>
        </is>
      </c>
    </row>
    <row r="23">
      <c r="B23" s="4" t="n">
        <v>2026</v>
      </c>
      <c r="C23" s="4" t="n">
        <v>2</v>
      </c>
      <c r="D23" s="4" t="inlineStr">
        <is>
          <t>RO</t>
        </is>
      </c>
      <c r="E23" s="57" t="n">
        <v>46147</v>
      </c>
      <c r="F23" s="9" t="n">
        <v>46146</v>
      </c>
      <c r="G23" s="4" t="inlineStr">
        <is>
          <t>Sim</t>
        </is>
      </c>
      <c r="H23" s="4" t="inlineStr">
        <is>
          <t>Sim</t>
        </is>
      </c>
      <c r="I23" s="4" t="inlineStr">
        <is>
          <t>Sim</t>
        </is>
      </c>
      <c r="J23" s="9" t="n">
        <v>46149</v>
      </c>
      <c r="K23" s="4" t="inlineStr">
        <is>
          <t>N/A</t>
        </is>
      </c>
      <c r="L23" s="4" t="inlineStr">
        <is>
          <t>-</t>
        </is>
      </c>
      <c r="M23" s="4" t="inlineStr">
        <is>
          <t>N/A</t>
        </is>
      </c>
      <c r="N23" s="4" t="inlineStr">
        <is>
          <t>N/A</t>
        </is>
      </c>
      <c r="O23" s="4" t="inlineStr">
        <is>
          <t>N/A</t>
        </is>
      </c>
      <c r="P23" s="4" t="inlineStr">
        <is>
          <t>N/A</t>
        </is>
      </c>
      <c r="Q23" s="13" t="inlineStr">
        <is>
          <t>Eleição Presidencial</t>
        </is>
      </c>
    </row>
    <row r="24">
      <c r="B24" s="4" t="n">
        <v>2026</v>
      </c>
      <c r="C24" s="4" t="n">
        <v>3</v>
      </c>
      <c r="D24" s="4" t="inlineStr">
        <is>
          <t>RE</t>
        </is>
      </c>
      <c r="E24" s="57" t="n">
        <v>46155</v>
      </c>
      <c r="F24" s="9" t="n"/>
      <c r="G24" s="4" t="n"/>
      <c r="H24" s="4" t="n"/>
      <c r="I24" s="4" t="n"/>
      <c r="J24" s="9" t="n"/>
      <c r="K24" s="4" t="n"/>
      <c r="L24" s="9" t="n"/>
      <c r="M24" s="4" t="n"/>
      <c r="N24" s="4" t="n"/>
      <c r="O24" s="4" t="n"/>
      <c r="P24" s="4" t="n"/>
      <c r="Q24" s="13" t="inlineStr">
        <is>
          <t>Parecer prévio LDO2027</t>
        </is>
      </c>
    </row>
    <row r="25">
      <c r="B25" s="4" t="n">
        <v>2026</v>
      </c>
      <c r="C25" s="4" t="n">
        <v>3</v>
      </c>
      <c r="D25" s="4" t="inlineStr">
        <is>
          <t>AP</t>
        </is>
      </c>
      <c r="E25" s="57" t="n">
        <v>46155</v>
      </c>
      <c r="F25" s="9" t="n"/>
      <c r="G25" s="4" t="n"/>
      <c r="H25" s="4" t="n"/>
      <c r="I25" s="4" t="n"/>
      <c r="J25" s="9" t="n"/>
      <c r="K25" s="4" t="n"/>
      <c r="L25" s="4" t="n"/>
      <c r="M25" s="4" t="inlineStr">
        <is>
          <t>N/A</t>
        </is>
      </c>
      <c r="N25" s="4" t="inlineStr">
        <is>
          <t>N/A</t>
        </is>
      </c>
      <c r="O25" s="4" t="inlineStr">
        <is>
          <t>N/A</t>
        </is>
      </c>
      <c r="P25" s="4" t="inlineStr">
        <is>
          <t>N/A</t>
        </is>
      </c>
      <c r="Q25" s="13" t="inlineStr">
        <is>
          <t>LDO2027</t>
        </is>
      </c>
    </row>
    <row r="26">
      <c r="B26" s="4" t="n">
        <v>2026</v>
      </c>
      <c r="C26" s="4" t="n">
        <v>4</v>
      </c>
      <c r="D26" s="4" t="inlineStr">
        <is>
          <t>RE</t>
        </is>
      </c>
      <c r="E26" s="57" t="n">
        <v>45799</v>
      </c>
      <c r="F26" s="9" t="n">
        <v>46163</v>
      </c>
      <c r="G26" s="4" t="inlineStr">
        <is>
          <t>Não</t>
        </is>
      </c>
      <c r="H26" s="4" t="inlineStr">
        <is>
          <t>Não</t>
        </is>
      </c>
      <c r="I26" s="4" t="inlineStr">
        <is>
          <t>Não</t>
        </is>
      </c>
      <c r="J26" s="9" t="n">
        <v>46167</v>
      </c>
      <c r="K26" s="4" t="n"/>
      <c r="L26" s="4" t="n"/>
      <c r="M26" s="4" t="inlineStr">
        <is>
          <t>Sim</t>
        </is>
      </c>
      <c r="N26" s="4" t="inlineStr">
        <is>
          <t>Não</t>
        </is>
      </c>
      <c r="O26" s="4" t="inlineStr">
        <is>
          <t>N/A</t>
        </is>
      </c>
      <c r="P26" s="4" t="inlineStr">
        <is>
          <t>N/A</t>
        </is>
      </c>
      <c r="Q26" s="13" t="inlineStr">
        <is>
          <t>deliberar APC</t>
        </is>
      </c>
    </row>
    <row r="27">
      <c r="B27" s="4" t="n"/>
      <c r="C27" s="4" t="n"/>
      <c r="D27" s="4" t="n"/>
      <c r="E27" s="57" t="n"/>
      <c r="F27" s="9" t="n"/>
      <c r="G27" s="4" t="n"/>
      <c r="H27" s="4" t="n"/>
      <c r="I27" s="4" t="n"/>
      <c r="J27" s="9" t="n"/>
      <c r="K27" s="4" t="n"/>
      <c r="L27" s="4" t="n"/>
      <c r="M27" s="4" t="n"/>
      <c r="N27" s="4" t="n"/>
      <c r="O27" s="4" t="n"/>
      <c r="P27" s="4" t="n"/>
      <c r="Q27" s="13" t="n"/>
    </row>
    <row r="28">
      <c r="B28" s="4" t="n"/>
      <c r="C28" s="4" t="n"/>
      <c r="D28" s="4" t="n"/>
      <c r="E28" s="57" t="n"/>
      <c r="F28" s="9" t="n"/>
      <c r="G28" s="4" t="n"/>
      <c r="H28" s="4" t="n"/>
      <c r="I28" s="4" t="n"/>
      <c r="J28" s="9" t="n"/>
      <c r="K28" s="4" t="n"/>
      <c r="L28" s="9" t="n"/>
      <c r="M28" s="4" t="n"/>
      <c r="N28" s="4" t="n"/>
      <c r="O28" s="4" t="n"/>
      <c r="P28" s="4" t="n"/>
      <c r="Q28" s="13" t="n"/>
    </row>
    <row r="29">
      <c r="B29" s="4" t="n"/>
      <c r="C29" s="4" t="n"/>
      <c r="D29" s="4" t="n"/>
      <c r="E29" s="57" t="n"/>
      <c r="F29" s="9" t="n"/>
      <c r="G29" s="4" t="n"/>
      <c r="H29" s="4" t="n"/>
      <c r="I29" s="4" t="n"/>
      <c r="J29" s="9" t="n"/>
      <c r="K29" s="4" t="n"/>
      <c r="L29" s="9" t="n"/>
      <c r="M29" s="4" t="n"/>
      <c r="N29" s="4" t="n"/>
      <c r="O29" s="4" t="n"/>
      <c r="P29" s="4" t="n"/>
      <c r="Q29" s="13" t="n"/>
    </row>
    <row r="30">
      <c r="B30" s="4" t="n"/>
      <c r="C30" s="4" t="n"/>
      <c r="D30" s="4" t="n"/>
      <c r="E30" s="57" t="n"/>
      <c r="F30" s="9" t="n"/>
      <c r="G30" s="4" t="n"/>
      <c r="H30" s="4" t="n"/>
      <c r="I30" s="4" t="n"/>
      <c r="J30" s="25" t="n"/>
      <c r="K30" s="4" t="n"/>
      <c r="L30" s="4" t="n"/>
      <c r="M30" s="4" t="n"/>
      <c r="N30" s="4" t="n"/>
      <c r="O30" s="4" t="n"/>
      <c r="P30" s="4" t="n"/>
      <c r="Q30" s="13" t="n"/>
    </row>
    <row r="31">
      <c r="B31" s="4" t="n"/>
      <c r="C31" s="4" t="n"/>
      <c r="D31" s="4" t="n"/>
      <c r="E31" s="57" t="n"/>
      <c r="F31" s="9" t="n"/>
      <c r="G31" s="4" t="n"/>
      <c r="H31" s="4" t="n"/>
      <c r="I31" s="4" t="n"/>
      <c r="J31" s="9" t="n"/>
      <c r="K31" s="4" t="n"/>
      <c r="L31" s="9" t="n"/>
      <c r="M31" s="4" t="n"/>
      <c r="N31" s="4" t="n"/>
      <c r="O31" s="4" t="n"/>
      <c r="P31" s="4" t="n"/>
      <c r="Q31" s="13" t="n"/>
    </row>
    <row r="32">
      <c r="B32" s="4" t="n"/>
      <c r="C32" s="4" t="n"/>
      <c r="D32" s="4" t="n"/>
      <c r="E32" s="57" t="n"/>
      <c r="F32" s="9" t="n"/>
      <c r="G32" s="4" t="n"/>
      <c r="H32" s="4" t="n"/>
      <c r="I32" s="4" t="n"/>
      <c r="J32" s="4" t="n"/>
      <c r="K32" s="4" t="n"/>
      <c r="L32" s="4" t="n"/>
      <c r="M32" s="4" t="n"/>
      <c r="N32" s="4" t="n"/>
      <c r="O32" s="4" t="n"/>
      <c r="P32" s="4" t="n"/>
      <c r="Q32" s="13" t="n"/>
    </row>
    <row r="33">
      <c r="B33" s="4" t="n"/>
      <c r="C33" s="4" t="n"/>
      <c r="D33" s="4" t="n"/>
      <c r="E33" s="58" t="n"/>
      <c r="F33" s="4" t="n"/>
      <c r="G33" s="4" t="n"/>
      <c r="H33" s="4" t="n"/>
      <c r="I33" s="4" t="n"/>
      <c r="J33" s="4" t="n"/>
      <c r="K33" s="4" t="n"/>
      <c r="L33" s="4" t="n"/>
      <c r="M33" s="4" t="n"/>
      <c r="N33" s="4" t="n"/>
      <c r="O33" s="4" t="n"/>
      <c r="P33" s="4" t="n"/>
      <c r="Q33" s="13" t="n"/>
    </row>
    <row r="34">
      <c r="B34" s="4" t="n"/>
      <c r="C34" s="4" t="n"/>
      <c r="D34" s="4" t="n"/>
      <c r="E34" s="58" t="n"/>
      <c r="F34" s="4" t="n"/>
      <c r="G34" s="4" t="n"/>
      <c r="H34" s="4" t="n"/>
      <c r="I34" s="4" t="n"/>
      <c r="J34" s="4" t="n"/>
      <c r="K34" s="4" t="n"/>
      <c r="L34" s="4" t="n"/>
      <c r="M34" s="4" t="n"/>
      <c r="N34" s="4" t="n"/>
      <c r="O34" s="4" t="n"/>
      <c r="P34" s="4" t="n"/>
      <c r="Q34" s="13" t="n"/>
    </row>
    <row r="35">
      <c r="B35" s="4" t="n"/>
      <c r="C35" s="4" t="n"/>
      <c r="D35" s="4" t="n"/>
      <c r="E35" s="58" t="n"/>
      <c r="F35" s="4" t="n"/>
      <c r="G35" s="4" t="n"/>
      <c r="H35" s="4" t="n"/>
      <c r="I35" s="4" t="n"/>
      <c r="J35" s="4" t="n"/>
      <c r="K35" s="4" t="n"/>
      <c r="L35" s="4" t="n"/>
      <c r="M35" s="4" t="n"/>
      <c r="N35" s="4" t="n"/>
      <c r="O35" s="4" t="n"/>
      <c r="P35" s="4" t="n"/>
      <c r="Q35" s="13" t="n"/>
    </row>
    <row r="36">
      <c r="B36" s="4" t="n"/>
      <c r="C36" s="4" t="n"/>
      <c r="D36" s="4" t="n"/>
      <c r="E36" s="57" t="n"/>
      <c r="F36" s="4" t="n"/>
      <c r="G36" s="4" t="n"/>
      <c r="H36" s="4" t="n"/>
      <c r="I36" s="4" t="n"/>
      <c r="J36" s="4" t="n"/>
      <c r="K36" s="4" t="n"/>
      <c r="L36" s="4" t="n"/>
      <c r="M36" s="4" t="n"/>
      <c r="N36" s="4" t="n"/>
      <c r="O36" s="4" t="n"/>
      <c r="P36" s="4" t="n"/>
      <c r="Q36" s="13" t="n"/>
    </row>
    <row r="37">
      <c r="B37" s="4" t="n"/>
      <c r="C37" s="4" t="n"/>
      <c r="D37" s="4" t="n"/>
      <c r="E37" s="58" t="n"/>
      <c r="F37" s="4" t="n"/>
      <c r="G37" s="4" t="n"/>
      <c r="H37" s="4" t="n"/>
      <c r="I37" s="4" t="n"/>
      <c r="J37" s="4" t="n"/>
      <c r="K37" s="4" t="n"/>
      <c r="L37" s="4" t="n"/>
      <c r="M37" s="4" t="n"/>
      <c r="N37" s="4" t="n"/>
      <c r="O37" s="4" t="n"/>
      <c r="P37" s="4" t="n"/>
      <c r="Q37" s="13" t="n"/>
    </row>
    <row r="38">
      <c r="B38" s="4" t="n"/>
      <c r="C38" s="4" t="n"/>
      <c r="D38" s="4" t="n"/>
      <c r="E38" s="58" t="n"/>
      <c r="F38" s="4" t="n"/>
      <c r="G38" s="4" t="n"/>
      <c r="H38" s="4" t="n"/>
      <c r="I38" s="4" t="n"/>
      <c r="J38" s="4" t="n"/>
      <c r="K38" s="4" t="n"/>
      <c r="L38" s="4" t="n"/>
      <c r="M38" s="4" t="n"/>
      <c r="N38" s="4" t="n"/>
      <c r="O38" s="4" t="n"/>
      <c r="P38" s="4" t="n"/>
      <c r="Q38" s="13" t="n"/>
    </row>
    <row r="39">
      <c r="B39" s="4" t="n"/>
      <c r="C39" s="4" t="n"/>
      <c r="D39" s="4" t="n"/>
      <c r="E39" s="58" t="n"/>
      <c r="F39" s="4" t="n"/>
      <c r="G39" s="4" t="n"/>
      <c r="H39" s="4" t="n"/>
      <c r="I39" s="4" t="n"/>
      <c r="J39" s="4" t="n"/>
      <c r="K39" s="4" t="n"/>
      <c r="L39" s="4" t="n"/>
      <c r="M39" s="4" t="n"/>
      <c r="N39" s="4" t="n"/>
      <c r="O39" s="4" t="n"/>
      <c r="P39" s="4" t="n"/>
      <c r="Q39" s="13" t="n"/>
    </row>
    <row r="40">
      <c r="B40" s="4" t="n"/>
      <c r="C40" s="4" t="n"/>
      <c r="D40" s="4" t="n"/>
      <c r="E40" s="58" t="n"/>
      <c r="F40" s="4" t="n"/>
      <c r="G40" s="4" t="n"/>
      <c r="H40" s="4" t="n"/>
      <c r="I40" s="4" t="n"/>
      <c r="J40" s="4" t="n"/>
      <c r="K40" s="4" t="n"/>
      <c r="L40" s="4" t="n"/>
      <c r="M40" s="4" t="n"/>
      <c r="N40" s="4" t="n"/>
      <c r="O40" s="4" t="n"/>
      <c r="P40" s="4" t="n"/>
      <c r="Q40" s="13" t="n"/>
    </row>
    <row r="41">
      <c r="B41" s="4" t="n"/>
      <c r="C41" s="4" t="n"/>
      <c r="D41" s="4" t="n"/>
      <c r="E41" s="58" t="n"/>
      <c r="F41" s="4" t="n"/>
      <c r="G41" s="4" t="n"/>
      <c r="H41" s="4" t="n"/>
      <c r="I41" s="4" t="n"/>
      <c r="J41" s="4" t="n"/>
      <c r="K41" s="4" t="n"/>
      <c r="L41" s="4" t="n"/>
      <c r="M41" s="4" t="n"/>
      <c r="N41" s="4" t="n"/>
      <c r="O41" s="4" t="n"/>
      <c r="P41" s="4" t="n"/>
      <c r="Q41" s="13" t="n"/>
    </row>
    <row r="42">
      <c r="B42" s="4" t="n"/>
      <c r="C42" s="4" t="n"/>
      <c r="D42" s="4" t="n"/>
      <c r="E42" s="58" t="n"/>
      <c r="F42" s="4" t="n"/>
      <c r="G42" s="4" t="n"/>
      <c r="H42" s="4" t="n"/>
      <c r="I42" s="4" t="n"/>
      <c r="J42" s="4" t="n"/>
      <c r="K42" s="4" t="n"/>
      <c r="L42" s="4" t="n"/>
      <c r="M42" s="4" t="n"/>
      <c r="N42" s="4" t="n"/>
      <c r="O42" s="4" t="n"/>
      <c r="P42" s="4" t="n"/>
      <c r="Q42" s="13" t="n"/>
    </row>
    <row r="43">
      <c r="B43" s="4" t="n"/>
      <c r="C43" s="4" t="n"/>
      <c r="D43" s="4" t="n"/>
      <c r="E43" s="58" t="n"/>
      <c r="F43" s="4" t="n"/>
      <c r="G43" s="4" t="n"/>
      <c r="H43" s="4" t="n"/>
      <c r="I43" s="4" t="n"/>
      <c r="J43" s="4" t="n"/>
      <c r="K43" s="4" t="n"/>
      <c r="L43" s="4" t="n"/>
      <c r="M43" s="4" t="n"/>
      <c r="N43" s="4" t="n"/>
      <c r="O43" s="4" t="n"/>
      <c r="P43" s="4" t="n"/>
      <c r="Q43" s="13" t="n"/>
    </row>
    <row r="44">
      <c r="B44" s="4" t="n"/>
      <c r="C44" s="4" t="n"/>
      <c r="D44" s="4" t="n"/>
      <c r="E44" s="58" t="n"/>
      <c r="F44" s="4" t="n"/>
      <c r="G44" s="4" t="n"/>
      <c r="H44" s="4" t="n"/>
      <c r="I44" s="4" t="n"/>
      <c r="J44" s="4" t="n"/>
      <c r="K44" s="4" t="n"/>
      <c r="L44" s="4" t="n"/>
      <c r="M44" s="4" t="n"/>
      <c r="N44" s="4" t="n"/>
      <c r="O44" s="4" t="n"/>
      <c r="P44" s="4" t="n"/>
      <c r="Q44" s="13" t="n"/>
    </row>
    <row r="45">
      <c r="B45" s="4" t="n"/>
      <c r="C45" s="4" t="n"/>
      <c r="D45" s="4" t="n"/>
      <c r="E45" s="58" t="n"/>
      <c r="F45" s="4" t="n"/>
      <c r="G45" s="4" t="n"/>
      <c r="H45" s="4" t="n"/>
      <c r="I45" s="4" t="n"/>
      <c r="J45" s="4" t="n"/>
      <c r="K45" s="4" t="n"/>
      <c r="L45" s="4" t="n"/>
      <c r="M45" s="4" t="n"/>
      <c r="N45" s="4" t="n"/>
      <c r="O45" s="4" t="n"/>
      <c r="P45" s="4" t="n"/>
      <c r="Q45" s="13" t="n"/>
    </row>
    <row r="46">
      <c r="B46" s="4" t="n"/>
      <c r="C46" s="4" t="n"/>
      <c r="D46" s="4" t="n"/>
      <c r="E46" s="58" t="n"/>
      <c r="F46" s="4" t="n"/>
      <c r="G46" s="4" t="n"/>
      <c r="H46" s="4" t="n"/>
      <c r="I46" s="4" t="n"/>
      <c r="J46" s="4" t="n"/>
      <c r="K46" s="4" t="n"/>
      <c r="L46" s="4" t="n"/>
      <c r="M46" s="4" t="n"/>
      <c r="N46" s="4" t="n"/>
      <c r="O46" s="4" t="n"/>
      <c r="P46" s="4" t="n"/>
      <c r="Q46" s="13" t="n"/>
    </row>
    <row r="47">
      <c r="B47" s="4" t="n"/>
      <c r="C47" s="4" t="n"/>
      <c r="D47" s="4" t="n"/>
      <c r="E47" s="58" t="n"/>
      <c r="F47" s="4" t="n"/>
      <c r="G47" s="4" t="n"/>
      <c r="H47" s="4" t="n"/>
      <c r="I47" s="4" t="n"/>
      <c r="J47" s="4" t="n"/>
      <c r="K47" s="4" t="n"/>
      <c r="L47" s="4" t="n"/>
      <c r="M47" s="4" t="n"/>
      <c r="N47" s="4" t="n"/>
      <c r="O47" s="4" t="n"/>
      <c r="P47" s="4" t="n"/>
      <c r="Q47" s="13" t="n"/>
    </row>
    <row r="48">
      <c r="B48" s="4" t="n"/>
      <c r="C48" s="4" t="n"/>
      <c r="D48" s="4" t="n"/>
      <c r="E48" s="57" t="n"/>
      <c r="F48" s="4" t="n"/>
      <c r="G48" s="4" t="n"/>
      <c r="H48" s="4" t="n"/>
      <c r="I48" s="4" t="n"/>
      <c r="J48" s="4" t="n"/>
      <c r="K48" s="4" t="n"/>
      <c r="L48" s="4" t="n"/>
      <c r="M48" s="4" t="n"/>
      <c r="N48" s="4" t="n"/>
      <c r="O48" s="4" t="n"/>
      <c r="P48" s="4" t="n"/>
      <c r="Q48" s="13" t="n"/>
    </row>
    <row r="49">
      <c r="B49" s="4" t="n"/>
      <c r="C49" s="4" t="n"/>
      <c r="D49" s="4" t="n"/>
      <c r="E49" s="58" t="n"/>
      <c r="F49" s="4" t="n"/>
      <c r="G49" s="4" t="n"/>
      <c r="H49" s="4" t="n"/>
      <c r="I49" s="4" t="n"/>
      <c r="J49" s="4" t="n"/>
      <c r="K49" s="4" t="n"/>
      <c r="L49" s="4" t="n"/>
      <c r="M49" s="4" t="n"/>
      <c r="N49" s="4" t="n"/>
      <c r="O49" s="4" t="n"/>
      <c r="P49" s="4" t="n"/>
      <c r="Q49" s="13" t="n"/>
    </row>
    <row r="50">
      <c r="B50" s="4" t="n"/>
      <c r="C50" s="4" t="n"/>
      <c r="D50" s="4" t="n"/>
      <c r="E50" s="58" t="n"/>
      <c r="F50" s="4" t="n"/>
      <c r="G50" s="4" t="n"/>
      <c r="H50" s="4" t="n"/>
      <c r="I50" s="4" t="n"/>
      <c r="J50" s="4" t="n"/>
      <c r="K50" s="4" t="n"/>
      <c r="L50" s="4" t="n"/>
      <c r="M50" s="4" t="n"/>
      <c r="N50" s="4" t="n"/>
      <c r="O50" s="4" t="n"/>
      <c r="P50" s="4" t="n"/>
      <c r="Q50" s="13" t="n"/>
    </row>
    <row r="51">
      <c r="B51" s="4" t="n"/>
      <c r="C51" s="4" t="n"/>
      <c r="D51" s="4" t="n"/>
      <c r="E51" s="58" t="n"/>
      <c r="F51" s="4" t="n"/>
      <c r="G51" s="4" t="n"/>
      <c r="H51" s="4" t="n"/>
      <c r="I51" s="4" t="n"/>
      <c r="J51" s="4" t="n"/>
      <c r="K51" s="4" t="n"/>
      <c r="L51" s="4" t="n"/>
      <c r="M51" s="4" t="n"/>
      <c r="N51" s="4" t="n"/>
      <c r="O51" s="4" t="n"/>
      <c r="P51" s="4" t="n"/>
      <c r="Q51" s="13" t="n"/>
    </row>
    <row r="52">
      <c r="B52" s="4" t="n"/>
      <c r="C52" s="4" t="n"/>
      <c r="D52" s="4" t="n"/>
      <c r="E52" s="58" t="n"/>
      <c r="F52" s="4" t="n"/>
      <c r="G52" s="4" t="n"/>
      <c r="H52" s="4" t="n"/>
      <c r="I52" s="4" t="n"/>
      <c r="J52" s="4" t="n"/>
      <c r="K52" s="4" t="n"/>
      <c r="L52" s="4" t="n"/>
      <c r="M52" s="4" t="n"/>
      <c r="N52" s="4" t="n"/>
      <c r="O52" s="4" t="n"/>
      <c r="P52" s="4" t="n"/>
      <c r="Q52" s="13" t="n"/>
    </row>
    <row r="53">
      <c r="B53" s="4" t="n"/>
      <c r="C53" s="4" t="n"/>
      <c r="D53" s="4" t="n"/>
      <c r="E53" s="58" t="n"/>
      <c r="F53" s="4" t="n"/>
      <c r="G53" s="4" t="n"/>
      <c r="H53" s="4" t="n"/>
      <c r="I53" s="4" t="n"/>
      <c r="J53" s="4" t="n"/>
      <c r="K53" s="4" t="n"/>
      <c r="L53" s="4" t="n"/>
      <c r="M53" s="4" t="n"/>
      <c r="N53" s="4" t="n"/>
      <c r="O53" s="4" t="n"/>
      <c r="P53" s="4" t="n"/>
      <c r="Q53" s="13" t="n"/>
    </row>
    <row r="54">
      <c r="B54" s="4" t="n"/>
      <c r="C54" s="4" t="n"/>
      <c r="D54" s="4" t="n"/>
      <c r="E54" s="58" t="n"/>
      <c r="F54" s="4" t="n"/>
      <c r="G54" s="4" t="n"/>
      <c r="H54" s="4" t="n"/>
      <c r="I54" s="4" t="n"/>
      <c r="J54" s="4" t="n"/>
      <c r="K54" s="4" t="n"/>
      <c r="L54" s="4" t="n"/>
      <c r="M54" s="4" t="n"/>
      <c r="N54" s="4" t="n"/>
      <c r="O54" s="4" t="n"/>
      <c r="P54" s="4" t="n"/>
      <c r="Q54" s="13" t="n"/>
    </row>
    <row r="55">
      <c r="B55" s="4" t="n"/>
      <c r="C55" s="4" t="n"/>
      <c r="D55" s="4" t="n"/>
      <c r="E55" s="58" t="n"/>
      <c r="F55" s="4" t="n"/>
      <c r="G55" s="4" t="n"/>
      <c r="H55" s="4" t="n"/>
      <c r="I55" s="4" t="n"/>
      <c r="J55" s="4" t="n"/>
      <c r="K55" s="4" t="n"/>
      <c r="L55" s="4" t="n"/>
      <c r="M55" s="4" t="n"/>
      <c r="N55" s="4" t="n"/>
      <c r="O55" s="4" t="n"/>
      <c r="P55" s="4" t="n"/>
      <c r="Q55" s="13" t="n"/>
    </row>
    <row r="56">
      <c r="B56" s="4" t="n"/>
      <c r="C56" s="4" t="n"/>
      <c r="D56" s="4" t="n"/>
      <c r="E56" s="58" t="n"/>
      <c r="F56" s="4" t="n"/>
      <c r="G56" s="4" t="n"/>
      <c r="H56" s="4" t="n"/>
      <c r="I56" s="4" t="n"/>
      <c r="J56" s="4" t="n"/>
      <c r="K56" s="4" t="n"/>
      <c r="L56" s="4" t="n"/>
      <c r="M56" s="4" t="n"/>
      <c r="N56" s="4" t="n"/>
      <c r="O56" s="4" t="n"/>
      <c r="P56" s="4" t="n"/>
      <c r="Q56" s="13" t="n"/>
    </row>
    <row r="57">
      <c r="B57" s="4" t="n"/>
      <c r="C57" s="4" t="n"/>
      <c r="D57" s="4" t="n"/>
      <c r="E57" s="58" t="n"/>
      <c r="F57" s="4" t="n"/>
      <c r="G57" s="4" t="n"/>
      <c r="H57" s="4" t="n"/>
      <c r="I57" s="4" t="n"/>
      <c r="J57" s="4" t="n"/>
      <c r="K57" s="4" t="n"/>
      <c r="L57" s="4" t="n"/>
      <c r="M57" s="4" t="n"/>
      <c r="N57" s="4" t="n"/>
      <c r="O57" s="4" t="n"/>
      <c r="P57" s="4" t="n"/>
      <c r="Q57" s="13" t="n"/>
    </row>
    <row r="58">
      <c r="B58" s="4" t="n"/>
      <c r="C58" s="4" t="n"/>
      <c r="D58" s="4" t="n"/>
      <c r="E58" s="58" t="n"/>
      <c r="F58" s="4" t="n"/>
      <c r="G58" s="4" t="n"/>
      <c r="H58" s="4" t="n"/>
      <c r="I58" s="4" t="n"/>
      <c r="J58" s="4" t="n"/>
      <c r="K58" s="4" t="n"/>
      <c r="L58" s="4" t="n"/>
      <c r="M58" s="4" t="n"/>
      <c r="N58" s="4" t="n"/>
      <c r="O58" s="4" t="n"/>
      <c r="P58" s="4" t="n"/>
      <c r="Q58" s="13" t="n"/>
    </row>
    <row r="59">
      <c r="B59" s="4" t="n"/>
      <c r="C59" s="4" t="n"/>
      <c r="D59" s="4" t="n"/>
      <c r="E59" s="58" t="n"/>
      <c r="F59" s="4" t="n"/>
      <c r="G59" s="4" t="n"/>
      <c r="H59" s="4" t="n"/>
      <c r="I59" s="4" t="n"/>
      <c r="J59" s="4" t="n"/>
      <c r="K59" s="4" t="n"/>
      <c r="L59" s="4" t="n"/>
      <c r="M59" s="4" t="n"/>
      <c r="N59" s="4" t="n"/>
      <c r="O59" s="4" t="n"/>
      <c r="P59" s="4" t="n"/>
      <c r="Q59" s="13" t="n"/>
    </row>
  </sheetData>
  <autoFilter ref="B2:Q32"/>
  <pageMargins left="0.511811024" right="0.511811024" top="0.787401575" bottom="0.787401575" header="0.31496062" footer="0.31496062"/>
  <pageSetup orientation="portrait" paperSize="9"/>
</worksheet>
</file>

<file path=xl/worksheets/sheet7.xml><?xml version="1.0" encoding="utf-8"?>
<worksheet xmlns="http://schemas.openxmlformats.org/spreadsheetml/2006/main">
  <sheetPr>
    <tabColor rgb="FF7030A0"/>
    <outlinePr summaryBelow="1" summaryRight="1"/>
    <pageSetUpPr fitToPage="1"/>
  </sheetPr>
  <dimension ref="A2:H61"/>
  <sheetViews>
    <sheetView workbookViewId="0">
      <pane ySplit="4" topLeftCell="A5" activePane="bottomLeft" state="frozen"/>
      <selection pane="bottomLeft" activeCell="C13" sqref="C13"/>
    </sheetView>
  </sheetViews>
  <sheetFormatPr baseColWidth="8" defaultRowHeight="15"/>
  <cols>
    <col width="9.140625" customWidth="1" style="60" min="1" max="1"/>
    <col width="13" bestFit="1" customWidth="1" style="60" min="2" max="2"/>
    <col width="13.85546875" bestFit="1" customWidth="1" style="16" min="3" max="3"/>
    <col width="17" bestFit="1" customWidth="1" style="16" min="4" max="4"/>
    <col width="59.140625" customWidth="1" style="60" min="5" max="5"/>
    <col width="15.42578125" bestFit="1" customWidth="1" style="16" min="6" max="6"/>
    <col width="31" customWidth="1" style="16" min="7" max="7"/>
    <col width="28.5703125" customWidth="1" style="60" min="8" max="8"/>
    <col width="9.140625" customWidth="1" style="60" min="9" max="16384"/>
  </cols>
  <sheetData>
    <row r="2" ht="18.75" customHeight="1" s="79">
      <c r="A2" s="59" t="n"/>
      <c r="B2" s="59" t="n"/>
      <c r="C2" s="78" t="inlineStr">
        <is>
          <t>AUDIÊNCIAS PÚBLICAS AGENDADAS</t>
        </is>
      </c>
    </row>
    <row r="4" ht="30" customHeight="1" s="79">
      <c r="B4" s="61" t="inlineStr">
        <is>
          <t>VIGÊNCIA</t>
        </is>
      </c>
      <c r="C4" s="61" t="inlineStr">
        <is>
          <t>REUNIÃO
DELIBERA</t>
        </is>
      </c>
      <c r="D4" s="61" t="inlineStr">
        <is>
          <t>DT. 
REUNIÃO</t>
        </is>
      </c>
      <c r="E4" s="62" t="inlineStr">
        <is>
          <t>ASSUNTO</t>
        </is>
      </c>
      <c r="F4" s="61" t="inlineStr">
        <is>
          <t>DT. REALIZAÇÃO</t>
        </is>
      </c>
      <c r="G4" s="61" t="inlineStr">
        <is>
          <t>Conjunta com...</t>
        </is>
      </c>
      <c r="H4" s="61" t="inlineStr">
        <is>
          <t>OBS</t>
        </is>
      </c>
    </row>
    <row r="5">
      <c r="B5" s="12" t="n"/>
      <c r="C5" s="12" t="n"/>
      <c r="D5" s="17" t="n"/>
      <c r="E5" s="13" t="n"/>
      <c r="F5" s="17" t="n"/>
      <c r="G5" s="12" t="n"/>
      <c r="H5" s="13" t="n"/>
    </row>
    <row r="6">
      <c r="B6" s="12" t="n"/>
      <c r="C6" s="12" t="n"/>
      <c r="D6" s="17" t="n"/>
      <c r="E6" s="13" t="n"/>
      <c r="F6" s="17" t="n"/>
      <c r="G6" s="17" t="n"/>
      <c r="H6" s="13" t="n"/>
    </row>
    <row r="7">
      <c r="B7" s="12" t="n"/>
      <c r="C7" s="12" t="n"/>
      <c r="D7" s="12" t="n"/>
      <c r="E7" s="13" t="n"/>
      <c r="F7" s="17" t="n"/>
      <c r="G7" s="17" t="n"/>
      <c r="H7" s="13" t="n"/>
    </row>
    <row r="8">
      <c r="B8" s="12" t="n"/>
      <c r="C8" s="12" t="n"/>
      <c r="D8" s="12" t="n"/>
      <c r="E8" s="13" t="n"/>
      <c r="F8" s="12" t="n"/>
      <c r="G8" s="12" t="n"/>
      <c r="H8" s="13" t="n"/>
    </row>
    <row r="9">
      <c r="B9" s="12" t="n"/>
      <c r="C9" s="12" t="n"/>
      <c r="D9" s="17" t="n"/>
      <c r="E9" s="13" t="n"/>
      <c r="F9" s="12" t="n"/>
      <c r="G9" s="12" t="n"/>
      <c r="H9" s="13" t="n"/>
    </row>
    <row r="10">
      <c r="B10" s="12" t="n"/>
      <c r="C10" s="12" t="n"/>
      <c r="D10" s="17" t="n"/>
      <c r="E10" s="13" t="n"/>
      <c r="F10" s="12" t="n"/>
      <c r="G10" s="12" t="n"/>
      <c r="H10" s="13" t="n"/>
    </row>
    <row r="11">
      <c r="B11" s="12" t="n"/>
      <c r="C11" s="12" t="n"/>
      <c r="D11" s="17" t="n"/>
      <c r="E11" s="13" t="n"/>
      <c r="F11" s="12" t="n"/>
      <c r="G11" s="12" t="n"/>
      <c r="H11" s="13" t="n"/>
    </row>
    <row r="12">
      <c r="B12" s="12" t="n"/>
      <c r="C12" s="12" t="n"/>
      <c r="D12" s="17" t="n"/>
      <c r="E12" s="13" t="n"/>
      <c r="F12" s="17" t="n"/>
      <c r="G12" s="12" t="n"/>
      <c r="H12" s="13" t="n"/>
    </row>
    <row r="13">
      <c r="B13" s="12" t="n"/>
      <c r="C13" s="12" t="n"/>
      <c r="D13" s="17" t="n"/>
      <c r="E13" s="13" t="n"/>
      <c r="F13" s="17" t="n"/>
      <c r="G13" s="12" t="n"/>
      <c r="H13" s="13" t="n"/>
    </row>
    <row r="14">
      <c r="B14" s="12" t="n"/>
      <c r="C14" s="12" t="n"/>
      <c r="D14" s="17" t="n"/>
      <c r="E14" s="13" t="n"/>
      <c r="F14" s="17" t="n"/>
      <c r="G14" s="12" t="n"/>
      <c r="H14" s="13" t="n"/>
    </row>
    <row r="15">
      <c r="B15" s="12" t="n"/>
      <c r="C15" s="12" t="n"/>
      <c r="D15" s="17" t="n"/>
      <c r="E15" s="13" t="n"/>
      <c r="F15" s="17" t="n"/>
      <c r="G15" s="12" t="n"/>
      <c r="H15" s="13" t="n"/>
    </row>
    <row r="16">
      <c r="B16" s="12" t="n"/>
      <c r="C16" s="12" t="n"/>
      <c r="D16" s="17" t="n"/>
      <c r="E16" s="13" t="n"/>
      <c r="F16" s="17" t="n"/>
      <c r="G16" s="12" t="n"/>
      <c r="H16" s="13" t="n"/>
    </row>
    <row r="17">
      <c r="B17" s="12" t="n"/>
      <c r="C17" s="12" t="n"/>
      <c r="D17" s="17" t="n"/>
      <c r="E17" s="13" t="n"/>
      <c r="F17" s="17" t="n"/>
      <c r="G17" s="12" t="n"/>
      <c r="H17" s="13" t="n"/>
    </row>
    <row r="18">
      <c r="B18" s="12" t="n"/>
      <c r="C18" s="12" t="n"/>
      <c r="D18" s="17" t="n"/>
      <c r="E18" s="13" t="n"/>
      <c r="F18" s="17" t="n"/>
      <c r="G18" s="12" t="n"/>
      <c r="H18" s="13" t="n"/>
    </row>
    <row r="19">
      <c r="B19" s="12" t="n"/>
      <c r="C19" s="12" t="n"/>
      <c r="D19" s="17" t="n"/>
      <c r="E19" s="13" t="n"/>
      <c r="F19" s="17" t="n"/>
      <c r="G19" s="12" t="n"/>
      <c r="H19" s="13" t="n"/>
    </row>
    <row r="20">
      <c r="B20" s="12" t="n"/>
      <c r="C20" s="12" t="n"/>
      <c r="D20" s="17" t="n"/>
      <c r="E20" s="13" t="n"/>
      <c r="F20" s="17" t="n"/>
      <c r="G20" s="12" t="n"/>
      <c r="H20" s="13" t="n"/>
    </row>
    <row r="21">
      <c r="B21" s="12" t="n"/>
      <c r="C21" s="12" t="n"/>
      <c r="D21" s="17" t="n"/>
      <c r="E21" s="13" t="n"/>
      <c r="F21" s="17" t="n"/>
      <c r="G21" s="12" t="n"/>
      <c r="H21" s="13" t="n"/>
    </row>
    <row r="22">
      <c r="B22" s="12" t="n"/>
      <c r="C22" s="12" t="n"/>
      <c r="D22" s="17" t="n"/>
      <c r="E22" s="13" t="n"/>
      <c r="F22" s="17" t="n"/>
      <c r="G22" s="12" t="n"/>
      <c r="H22" s="13" t="n"/>
    </row>
    <row r="23">
      <c r="B23" s="12" t="n"/>
      <c r="C23" s="12" t="n"/>
      <c r="D23" s="17" t="n"/>
      <c r="E23" s="13" t="n"/>
      <c r="F23" s="17" t="n"/>
      <c r="G23" s="12" t="n"/>
      <c r="H23" s="13" t="n"/>
    </row>
    <row r="24">
      <c r="B24" s="12" t="n"/>
      <c r="C24" s="12" t="n"/>
      <c r="D24" s="17" t="n"/>
      <c r="E24" s="13" t="n"/>
      <c r="F24" s="17" t="n"/>
      <c r="G24" s="12" t="n"/>
      <c r="H24" s="13" t="n"/>
    </row>
    <row r="25">
      <c r="B25" s="12" t="n"/>
      <c r="C25" s="12" t="n"/>
      <c r="D25" s="17" t="n"/>
      <c r="E25" s="13" t="n"/>
      <c r="F25" s="17" t="n"/>
      <c r="G25" s="12" t="n"/>
      <c r="H25" s="13" t="n"/>
    </row>
    <row r="26">
      <c r="B26" s="12" t="n"/>
      <c r="C26" s="12" t="n"/>
      <c r="D26" s="17" t="n"/>
      <c r="E26" s="13" t="n"/>
      <c r="F26" s="17" t="n"/>
      <c r="G26" s="12" t="n"/>
      <c r="H26" s="13" t="n"/>
    </row>
    <row r="27">
      <c r="B27" s="12" t="n"/>
      <c r="C27" s="12" t="n"/>
      <c r="D27" s="17" t="n"/>
      <c r="E27" s="13" t="n"/>
      <c r="F27" s="17" t="n"/>
      <c r="G27" s="12" t="n"/>
      <c r="H27" s="13" t="n"/>
    </row>
    <row r="28">
      <c r="B28" s="12" t="n"/>
      <c r="C28" s="12" t="n"/>
      <c r="D28" s="17" t="n"/>
      <c r="E28" s="13" t="n"/>
      <c r="F28" s="17" t="n"/>
      <c r="G28" s="12" t="n"/>
      <c r="H28" s="13" t="n"/>
    </row>
    <row r="29">
      <c r="B29" s="12" t="n"/>
      <c r="C29" s="12" t="n"/>
      <c r="D29" s="17" t="n"/>
      <c r="E29" s="13" t="n"/>
      <c r="F29" s="17" t="n"/>
      <c r="G29" s="12" t="n"/>
      <c r="H29" s="13" t="n"/>
    </row>
    <row r="30">
      <c r="B30" s="12" t="n"/>
      <c r="C30" s="12" t="n"/>
      <c r="D30" s="17" t="n"/>
      <c r="E30" s="13" t="n"/>
      <c r="F30" s="17" t="n"/>
      <c r="G30" s="12" t="n"/>
      <c r="H30" s="13" t="n"/>
    </row>
    <row r="31">
      <c r="B31" s="12" t="n"/>
      <c r="C31" s="12" t="n"/>
      <c r="D31" s="17" t="n"/>
      <c r="E31" s="13" t="n"/>
      <c r="F31" s="17" t="n"/>
      <c r="G31" s="12" t="n"/>
      <c r="H31" s="13" t="n"/>
    </row>
    <row r="32">
      <c r="B32" s="12" t="n"/>
      <c r="C32" s="12" t="n"/>
      <c r="D32" s="17" t="n"/>
      <c r="E32" s="13" t="n"/>
      <c r="F32" s="17" t="n"/>
      <c r="G32" s="12" t="n"/>
      <c r="H32" s="13" t="n"/>
    </row>
    <row r="33">
      <c r="B33" s="12" t="n"/>
      <c r="C33" s="12" t="n"/>
      <c r="D33" s="17" t="n"/>
      <c r="E33" s="13" t="n"/>
      <c r="F33" s="17" t="n"/>
      <c r="G33" s="12" t="n"/>
      <c r="H33" s="13" t="n"/>
    </row>
    <row r="34">
      <c r="B34" s="12" t="n"/>
      <c r="C34" s="12" t="n"/>
      <c r="D34" s="17" t="n"/>
      <c r="E34" s="13" t="n"/>
      <c r="F34" s="17" t="n"/>
      <c r="G34" s="12" t="n"/>
      <c r="H34" s="13" t="n"/>
    </row>
    <row r="35">
      <c r="B35" s="12" t="n"/>
      <c r="C35" s="12" t="n"/>
      <c r="D35" s="17" t="n"/>
      <c r="E35" s="13" t="n"/>
      <c r="F35" s="17" t="n"/>
      <c r="G35" s="12" t="n"/>
      <c r="H35" s="13" t="n"/>
    </row>
    <row r="36">
      <c r="B36" s="12" t="n"/>
      <c r="C36" s="12" t="n"/>
      <c r="D36" s="17" t="n"/>
      <c r="E36" s="13" t="n"/>
      <c r="F36" s="17" t="n"/>
      <c r="G36" s="12" t="n"/>
      <c r="H36" s="13" t="n"/>
    </row>
    <row r="37">
      <c r="B37" s="12" t="n"/>
      <c r="C37" s="12" t="n"/>
      <c r="D37" s="17" t="n"/>
      <c r="E37" s="13" t="n"/>
      <c r="F37" s="17" t="n"/>
      <c r="G37" s="12" t="n"/>
      <c r="H37" s="13" t="n"/>
    </row>
    <row r="38">
      <c r="B38" s="12" t="n"/>
      <c r="C38" s="12" t="n"/>
      <c r="D38" s="17" t="n"/>
      <c r="E38" s="13" t="n"/>
      <c r="F38" s="17" t="n"/>
      <c r="G38" s="12" t="n"/>
      <c r="H38" s="13" t="n"/>
    </row>
    <row r="39">
      <c r="B39" s="12" t="n"/>
      <c r="C39" s="12" t="n"/>
      <c r="D39" s="17" t="n"/>
      <c r="E39" s="13" t="n"/>
      <c r="F39" s="17" t="n"/>
      <c r="G39" s="12" t="n"/>
      <c r="H39" s="13" t="n"/>
    </row>
    <row r="40">
      <c r="B40" s="12" t="n"/>
      <c r="C40" s="12" t="n"/>
      <c r="D40" s="17" t="n"/>
      <c r="E40" s="13" t="n"/>
      <c r="F40" s="17" t="n"/>
      <c r="G40" s="12" t="n"/>
      <c r="H40" s="13" t="n"/>
    </row>
    <row r="41">
      <c r="B41" s="12" t="n"/>
      <c r="C41" s="12" t="n"/>
      <c r="D41" s="17" t="n"/>
      <c r="E41" s="13" t="n"/>
      <c r="F41" s="17" t="n"/>
      <c r="G41" s="12" t="n"/>
      <c r="H41" s="13" t="n"/>
    </row>
    <row r="42">
      <c r="B42" s="12" t="n"/>
      <c r="C42" s="12" t="n"/>
      <c r="D42" s="17" t="n"/>
      <c r="E42" s="13" t="n"/>
      <c r="F42" s="17" t="n"/>
      <c r="G42" s="12" t="n"/>
      <c r="H42" s="13" t="n"/>
    </row>
    <row r="43">
      <c r="B43" s="12" t="n"/>
      <c r="C43" s="12" t="n"/>
      <c r="D43" s="17" t="n"/>
      <c r="E43" s="13" t="n"/>
      <c r="F43" s="17" t="n"/>
      <c r="G43" s="12" t="n"/>
      <c r="H43" s="13" t="n"/>
    </row>
    <row r="44">
      <c r="B44" s="12" t="n"/>
      <c r="C44" s="12" t="n"/>
      <c r="D44" s="17" t="n"/>
      <c r="E44" s="13" t="n"/>
      <c r="F44" s="17" t="n"/>
      <c r="G44" s="12" t="n"/>
      <c r="H44" s="13" t="n"/>
    </row>
    <row r="45">
      <c r="B45" s="12" t="n"/>
      <c r="C45" s="12" t="n"/>
      <c r="D45" s="17" t="n"/>
      <c r="E45" s="13" t="n"/>
      <c r="F45" s="17" t="n"/>
      <c r="G45" s="12" t="n"/>
      <c r="H45" s="13" t="n"/>
    </row>
    <row r="46">
      <c r="B46" s="12" t="n"/>
      <c r="C46" s="12" t="n"/>
      <c r="D46" s="17" t="n"/>
      <c r="E46" s="13" t="n"/>
      <c r="F46" s="17" t="n"/>
      <c r="G46" s="12" t="n"/>
      <c r="H46" s="13" t="n"/>
    </row>
    <row r="47">
      <c r="B47" s="12" t="n"/>
      <c r="C47" s="12" t="n"/>
      <c r="D47" s="17" t="n"/>
      <c r="E47" s="13" t="n"/>
      <c r="F47" s="17" t="n"/>
      <c r="G47" s="12" t="n"/>
      <c r="H47" s="13" t="n"/>
    </row>
    <row r="48">
      <c r="B48" s="12" t="n"/>
      <c r="C48" s="12" t="n"/>
      <c r="D48" s="17" t="n"/>
      <c r="E48" s="13" t="n"/>
      <c r="F48" s="17" t="n"/>
      <c r="G48" s="12" t="n"/>
      <c r="H48" s="13" t="n"/>
    </row>
    <row r="49">
      <c r="B49" s="12" t="n"/>
      <c r="C49" s="12" t="n"/>
      <c r="D49" s="17" t="n"/>
      <c r="E49" s="13" t="n"/>
      <c r="F49" s="17" t="n"/>
      <c r="G49" s="12" t="n"/>
      <c r="H49" s="13" t="n"/>
    </row>
    <row r="50">
      <c r="B50" s="12" t="n"/>
      <c r="C50" s="12" t="n"/>
      <c r="D50" s="17" t="n"/>
      <c r="E50" s="13" t="n"/>
      <c r="F50" s="17" t="n"/>
      <c r="G50" s="12" t="n"/>
      <c r="H50" s="13" t="n"/>
    </row>
    <row r="51">
      <c r="B51" s="12" t="n"/>
      <c r="C51" s="12" t="n"/>
      <c r="D51" s="17" t="n"/>
      <c r="E51" s="13" t="n"/>
      <c r="F51" s="17" t="n"/>
      <c r="G51" s="12" t="n"/>
      <c r="H51" s="13" t="n"/>
    </row>
    <row r="52">
      <c r="B52" s="12" t="n"/>
      <c r="C52" s="12" t="n"/>
      <c r="D52" s="17" t="n"/>
      <c r="E52" s="13" t="n"/>
      <c r="F52" s="17" t="n"/>
      <c r="G52" s="12" t="n"/>
      <c r="H52" s="13" t="n"/>
    </row>
    <row r="53">
      <c r="B53" s="12" t="n"/>
      <c r="C53" s="12" t="n"/>
      <c r="D53" s="17" t="n"/>
      <c r="E53" s="13" t="n"/>
      <c r="F53" s="17" t="n"/>
      <c r="G53" s="12" t="n"/>
      <c r="H53" s="13" t="n"/>
    </row>
    <row r="54">
      <c r="B54" s="12" t="n"/>
      <c r="C54" s="12" t="n"/>
      <c r="D54" s="17" t="n"/>
      <c r="E54" s="13" t="n"/>
      <c r="F54" s="17" t="n"/>
      <c r="G54" s="12" t="n"/>
      <c r="H54" s="13" t="n"/>
    </row>
    <row r="55">
      <c r="B55" s="12" t="n"/>
      <c r="C55" s="12" t="n"/>
      <c r="D55" s="17" t="n"/>
      <c r="E55" s="13" t="n"/>
      <c r="F55" s="17" t="n"/>
      <c r="G55" s="12" t="n"/>
      <c r="H55" s="13" t="n"/>
    </row>
    <row r="56">
      <c r="B56" s="12" t="n"/>
      <c r="C56" s="12" t="n"/>
      <c r="D56" s="17" t="n"/>
      <c r="E56" s="13" t="n"/>
      <c r="F56" s="17" t="n"/>
      <c r="G56" s="12" t="n"/>
      <c r="H56" s="13" t="n"/>
    </row>
    <row r="57">
      <c r="B57" s="12" t="n"/>
      <c r="C57" s="12" t="n"/>
      <c r="D57" s="17" t="n"/>
      <c r="E57" s="13" t="n"/>
      <c r="F57" s="17" t="n"/>
      <c r="G57" s="12" t="n"/>
      <c r="H57" s="13" t="n"/>
    </row>
    <row r="58">
      <c r="B58" s="12" t="n"/>
      <c r="C58" s="12" t="n"/>
      <c r="D58" s="17" t="n"/>
      <c r="E58" s="13" t="n"/>
      <c r="F58" s="17" t="n"/>
      <c r="G58" s="12" t="n"/>
      <c r="H58" s="13" t="n"/>
    </row>
    <row r="59">
      <c r="B59" s="12" t="n"/>
      <c r="C59" s="12" t="n"/>
      <c r="D59" s="17" t="n"/>
      <c r="E59" s="13" t="n"/>
      <c r="F59" s="17" t="n"/>
      <c r="G59" s="12" t="n"/>
      <c r="H59" s="13" t="n"/>
    </row>
    <row r="60">
      <c r="B60" s="12" t="n"/>
      <c r="C60" s="12" t="n"/>
      <c r="D60" s="17" t="n"/>
      <c r="E60" s="13" t="n"/>
      <c r="F60" s="17" t="n"/>
      <c r="G60" s="12" t="n"/>
      <c r="H60" s="13" t="n"/>
    </row>
    <row r="61">
      <c r="B61" s="12" t="n"/>
      <c r="C61" s="12" t="n"/>
      <c r="D61" s="17" t="n"/>
      <c r="E61" s="13" t="n"/>
      <c r="F61" s="17" t="n"/>
      <c r="G61" s="12" t="n"/>
      <c r="H61" s="13" t="n"/>
    </row>
  </sheetData>
  <autoFilter ref="B4:H20"/>
  <mergeCells count="1">
    <mergeCell ref="C2:H2"/>
  </mergeCells>
  <pageMargins left="0.25" right="0.25" top="0.75" bottom="0.75" header="0.3" footer="0.3"/>
  <pageSetup orientation="portrait" paperSize="9" scale="64" fitToHeight="0"/>
</worksheet>
</file>

<file path=xl/worksheets/sheet8.xml><?xml version="1.0" encoding="utf-8"?>
<worksheet xmlns="http://schemas.openxmlformats.org/spreadsheetml/2006/main">
  <sheetPr codeName="Planilha4">
    <outlinePr summaryBelow="1" summaryRight="1"/>
    <pageSetUpPr/>
  </sheetPr>
  <dimension ref="A1:M23"/>
  <sheetViews>
    <sheetView workbookViewId="0">
      <selection activeCell="G19" sqref="G19"/>
    </sheetView>
  </sheetViews>
  <sheetFormatPr baseColWidth="8" defaultRowHeight="15"/>
  <cols>
    <col width="27.7109375" customWidth="1" style="79" min="5" max="5"/>
    <col width="32" customWidth="1" style="79" min="7" max="7"/>
    <col width="22.140625" bestFit="1" customWidth="1" style="79" min="10" max="10"/>
    <col width="80.42578125" customWidth="1" style="79" min="13" max="13"/>
  </cols>
  <sheetData>
    <row r="1">
      <c r="A1" t="inlineStr">
        <is>
          <t>Sim</t>
        </is>
      </c>
      <c r="D1" t="inlineStr">
        <is>
          <t>AP</t>
        </is>
      </c>
      <c r="G1" t="inlineStr">
        <is>
          <t>Processo</t>
        </is>
      </c>
      <c r="J1" t="inlineStr">
        <is>
          <t>ANDRÉ CORRÊA</t>
        </is>
      </c>
    </row>
    <row r="2">
      <c r="A2" s="15" t="inlineStr">
        <is>
          <t>Não</t>
        </is>
      </c>
      <c r="D2" t="inlineStr">
        <is>
          <t>APC</t>
        </is>
      </c>
      <c r="G2" t="inlineStr">
        <is>
          <t>Processo Pres.</t>
        </is>
      </c>
      <c r="J2" t="inlineStr">
        <is>
          <t>CARLOS MACEDO</t>
        </is>
      </c>
    </row>
    <row r="3">
      <c r="A3" t="inlineStr">
        <is>
          <t>N/A</t>
        </is>
      </c>
      <c r="D3" t="inlineStr">
        <is>
          <t>RE</t>
        </is>
      </c>
      <c r="G3" t="inlineStr">
        <is>
          <t>Projeto Lei</t>
        </is>
      </c>
      <c r="J3" t="inlineStr">
        <is>
          <t>ALEXANDRE KNOPLOCH</t>
        </is>
      </c>
    </row>
    <row r="4">
      <c r="D4" t="inlineStr">
        <is>
          <t>RO</t>
        </is>
      </c>
      <c r="G4" t="inlineStr">
        <is>
          <t>Projeto Lei Compl.</t>
        </is>
      </c>
      <c r="J4" t="inlineStr">
        <is>
          <t>RENATO MIRANDA</t>
        </is>
      </c>
    </row>
    <row r="5">
      <c r="D5" t="inlineStr">
        <is>
          <t>RI</t>
        </is>
      </c>
      <c r="G5" t="inlineStr">
        <is>
          <t>PL Apensado</t>
        </is>
      </c>
      <c r="J5" t="inlineStr">
        <is>
          <t>LUIZ PAULO</t>
        </is>
      </c>
    </row>
    <row r="6">
      <c r="G6" t="inlineStr">
        <is>
          <t>Proj. Emenda Const.</t>
        </is>
      </c>
      <c r="J6" t="inlineStr">
        <is>
          <t>ZEIDAN</t>
        </is>
      </c>
    </row>
    <row r="7">
      <c r="G7" t="inlineStr">
        <is>
          <t>Proj. Decreto Legislativo</t>
        </is>
      </c>
      <c r="J7" t="inlineStr">
        <is>
          <t>VINÍCIUS COZZOLINO</t>
        </is>
      </c>
    </row>
    <row r="8">
      <c r="G8" t="inlineStr">
        <is>
          <t>Proj.de Resolução</t>
        </is>
      </c>
      <c r="J8" t="inlineStr">
        <is>
          <t>Rodrigo Amorim</t>
        </is>
      </c>
    </row>
    <row r="9">
      <c r="G9" t="inlineStr">
        <is>
          <t>Indicações Legislativas</t>
        </is>
      </c>
      <c r="J9" t="inlineStr">
        <is>
          <t>Bruno Boaretto</t>
        </is>
      </c>
    </row>
    <row r="10">
      <c r="G10" t="inlineStr">
        <is>
          <t>Indicações</t>
        </is>
      </c>
      <c r="J10" t="inlineStr">
        <is>
          <t>Renata Souza</t>
        </is>
      </c>
    </row>
    <row r="11">
      <c r="G11" t="inlineStr">
        <is>
          <t>Mensagens</t>
        </is>
      </c>
      <c r="J11" t="inlineStr">
        <is>
          <t>Guilherme Delaroli</t>
        </is>
      </c>
    </row>
    <row r="12">
      <c r="G12" t="inlineStr">
        <is>
          <t>Moções</t>
        </is>
      </c>
      <c r="J12" t="inlineStr">
        <is>
          <t>Lilian Behreing</t>
        </is>
      </c>
    </row>
    <row r="13">
      <c r="E13" s="35" t="n"/>
      <c r="G13" t="inlineStr">
        <is>
          <t>Ofícios</t>
        </is>
      </c>
      <c r="J13" t="inlineStr">
        <is>
          <t>Célia Jordão</t>
        </is>
      </c>
    </row>
    <row r="14">
      <c r="G14" t="inlineStr">
        <is>
          <t>Processos</t>
        </is>
      </c>
      <c r="J14" t="inlineStr">
        <is>
          <t>Danniel Librelon</t>
        </is>
      </c>
    </row>
    <row r="15">
      <c r="G15" t="inlineStr">
        <is>
          <t>Requerimentos</t>
        </is>
      </c>
    </row>
    <row r="16">
      <c r="G16" t="inlineStr">
        <is>
          <t>Requerimentos de Infor.</t>
        </is>
      </c>
    </row>
    <row r="17">
      <c r="G17" t="inlineStr">
        <is>
          <t>Requerimentos sem Número</t>
        </is>
      </c>
    </row>
    <row r="18">
      <c r="G18" t="inlineStr">
        <is>
          <t>Proposições Gerais</t>
        </is>
      </c>
    </row>
    <row r="20">
      <c r="M20" s="36" t="inlineStr">
        <is>
          <t>http://alerjln1.alerj.rj.gov.br/scpro2327.nsf/Internet/LeiInt?OpenForm&amp;Count=999&amp;ResortAscending=1?ID=20250305667</t>
        </is>
      </c>
    </row>
    <row r="21">
      <c r="M21" t="inlineStr">
        <is>
          <t>PYTHON (Macro)</t>
        </is>
      </c>
    </row>
    <row r="22">
      <c r="M22" s="36" t="inlineStr">
        <is>
          <t>https://www.computersciencemaster.com.br/como-executar-codigo-python-dentro-do-excel/</t>
        </is>
      </c>
    </row>
    <row r="23" ht="165" customHeight="1" s="79">
      <c r="M23" s="35" t="inlineStr">
        <is>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is>
      </c>
    </row>
  </sheetData>
  <hyperlinks>
    <hyperlink xmlns:r="http://schemas.openxmlformats.org/officeDocument/2006/relationships" ref="M20" r:id="rId1"/>
    <hyperlink xmlns:r="http://schemas.openxmlformats.org/officeDocument/2006/relationships" ref="M22" r:id="rId2"/>
  </hyperlinks>
  <pageMargins left="0.511811024" right="0.511811024" top="0.787401575" bottom="0.787401575" header="0.31496062" footer="0.31496062"/>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Gilberto Almeida</dc:creator>
  <dcterms:created xmlns:dcterms="http://purl.org/dc/terms/" xmlns:xsi="http://www.w3.org/2001/XMLSchema-instance" xsi:type="dcterms:W3CDTF">2021-11-18T23:37:57Z</dcterms:created>
  <dcterms:modified xmlns:dcterms="http://purl.org/dc/terms/" xmlns:xsi="http://www.w3.org/2001/XMLSchema-instance" xsi:type="dcterms:W3CDTF">2026-05-27T16:40:59Z</dcterms:modified>
  <cp:lastModifiedBy>Gilberto Almeida</cp:lastModifiedBy>
  <cp:lastPrinted>2026-05-12T19:56:10Z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0x01010000A62BEBB571C447BFF9567365783643</vt:lpwstr>
  </property>
  <property name="_dlc_DocIdItemGuid" fmtid="{D5CDD505-2E9C-101B-9397-08002B2CF9AE}" pid="3">
    <vt:lpwstr xmlns:vt="http://schemas.openxmlformats.org/officeDocument/2006/docPropsVTypes">eca38d7b-9ffb-4cb8-8b8a-1959908aeeb4</vt:lpwstr>
  </property>
  <property name="MediaServiceImageTags" fmtid="{D5CDD505-2E9C-101B-9397-08002B2CF9AE}" pid="4">
    <vt:lpwstr xmlns:vt="http://schemas.openxmlformats.org/officeDocument/2006/docPropsVTypes"/>
  </property>
</Properties>
</file>